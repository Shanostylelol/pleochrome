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Assumptions" sheetId="1" state="visible" r:id="rId1"/>
    <sheet name="Deal Model" sheetId="2" state="visible" r:id="rId2"/>
    <sheet name="PleoChrome P&amp;L" sheetId="3" state="visible" r:id="rId3"/>
    <sheet name="Pricing Sources" sheetId="4" state="visible" r:id="rId4"/>
    <sheet name="Payment Timeline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15">
    <font>
      <name val="Calibri"/>
      <family val="2"/>
      <color theme="1"/>
      <sz val="11"/>
      <scheme val="minor"/>
    </font>
    <font>
      <name val="Calibri"/>
      <b val="1"/>
      <color rgb="FF0B2341"/>
      <sz val="14"/>
    </font>
    <font>
      <name val="Calibri"/>
      <i val="1"/>
      <color rgb="FF666666"/>
      <sz val="9"/>
    </font>
    <font>
      <name val="Calibri"/>
      <b val="1"/>
      <color rgb="FFFFFFFF"/>
      <sz val="11"/>
    </font>
    <font>
      <name val="Calibri"/>
      <b val="1"/>
      <color rgb="FF0B2341"/>
      <sz val="10"/>
    </font>
    <font>
      <name val="Calibri"/>
      <color rgb="FF333333"/>
      <sz val="10"/>
    </font>
    <font>
      <name val="Calibri"/>
      <b val="1"/>
      <color rgb="FF1565C0"/>
      <sz val="10"/>
    </font>
    <font>
      <name val="Calibri"/>
      <color rgb="FF888888"/>
      <sz val="9"/>
    </font>
    <font>
      <name val="Calibri"/>
      <b val="1"/>
      <color rgb="FF333333"/>
      <sz val="10"/>
    </font>
    <font>
      <name val="Calibri"/>
      <b val="1"/>
      <color rgb="FF0B2341"/>
      <sz val="11"/>
    </font>
    <font>
      <name val="Calibri"/>
      <b val="1"/>
      <color rgb="FF1B6B4A"/>
      <sz val="11"/>
    </font>
    <font>
      <name val="Calibri"/>
      <b val="1"/>
      <color rgb="FF1B6B4A"/>
      <sz val="10"/>
    </font>
    <font>
      <name val="Calibri"/>
      <b val="1"/>
      <color rgb="FFA61D3A"/>
      <sz val="10"/>
    </font>
    <font>
      <name val="Calibri"/>
      <color rgb="FF1565C0"/>
      <sz val="9"/>
    </font>
    <font>
      <name val="Calibri"/>
      <family val="2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0B2341"/>
        <bgColor rgb="FF0B2341"/>
      </patternFill>
    </fill>
    <fill>
      <patternFill patternType="solid">
        <fgColor rgb="FFE0E0E0"/>
        <bgColor rgb="FFE0E0E0"/>
      </patternFill>
    </fill>
    <fill>
      <patternFill patternType="solid">
        <fgColor rgb="FFFFF9C4"/>
        <bgColor rgb="FFFFF9C4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E0F2F1"/>
        <bgColor rgb="FFE0F2F1"/>
      </patternFill>
    </fill>
    <fill>
      <patternFill patternType="solid">
        <fgColor rgb="FFFFF8E1"/>
        <bgColor rgb="FFFFF8E1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14" fillId="0" borderId="0"/>
    <xf numFmtId="44" fontId="14" fillId="0" borderId="0"/>
  </cellStyleXfs>
  <cellXfs count="51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pivotButton="0" quotePrefix="0" xfId="0"/>
    <xf numFmtId="0" fontId="5" fillId="0" borderId="1" pivotButton="0" quotePrefix="0" xfId="0"/>
    <xf numFmtId="0" fontId="6" fillId="4" borderId="1" pivotButton="0" quotePrefix="0" xfId="0"/>
    <xf numFmtId="0" fontId="7" fillId="0" borderId="1" pivotButton="0" quotePrefix="0" xfId="0"/>
    <xf numFmtId="4" fontId="6" fillId="4" borderId="1" pivotButton="0" quotePrefix="0" xfId="0"/>
    <xf numFmtId="3" fontId="6" fillId="4" borderId="1" pivotButton="0" quotePrefix="0" xfId="0"/>
    <xf numFmtId="10" fontId="6" fillId="4" borderId="1" pivotButton="0" quotePrefix="0" xfId="0"/>
    <xf numFmtId="3" fontId="5" fillId="5" borderId="1" pivotButton="0" quotePrefix="0" xfId="0"/>
    <xf numFmtId="0" fontId="8" fillId="0" borderId="0" pivotButton="0" quotePrefix="0" xfId="0"/>
    <xf numFmtId="3" fontId="1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5" fillId="5" borderId="1" pivotButton="0" quotePrefix="0" xfId="0"/>
    <xf numFmtId="0" fontId="12" fillId="0" borderId="0" pivotButton="0" quotePrefix="0" xfId="0"/>
    <xf numFmtId="10" fontId="5" fillId="5" borderId="1" pivotButton="0" quotePrefix="0" xfId="0"/>
    <xf numFmtId="0" fontId="10" fillId="0" borderId="0" pivotButton="0" quotePrefix="0" xfId="0"/>
    <xf numFmtId="0" fontId="13" fillId="0" borderId="1" pivotButton="0" quotePrefix="0" xfId="0"/>
    <xf numFmtId="0" fontId="5" fillId="6" borderId="1" pivotButton="0" quotePrefix="0" xfId="0"/>
    <xf numFmtId="0" fontId="5" fillId="7" borderId="1" pivotButton="0" quotePrefix="0" xfId="0"/>
    <xf numFmtId="0" fontId="5" fillId="8" borderId="1" pivotButton="0" quotePrefix="0" xfId="0"/>
    <xf numFmtId="164" fontId="5" fillId="5" borderId="1" pivotButton="0" quotePrefix="0" xfId="1"/>
    <xf numFmtId="165" fontId="5" fillId="5" borderId="1" pivotButton="0" quotePrefix="0" xfId="1"/>
    <xf numFmtId="165" fontId="5" fillId="0" borderId="1" pivotButton="0" quotePrefix="0" xfId="1"/>
    <xf numFmtId="165" fontId="4" fillId="3" borderId="1" pivotButton="0" quotePrefix="0" xfId="1"/>
    <xf numFmtId="165" fontId="0" fillId="0" borderId="0" pivotButton="0" quotePrefix="0" xfId="1"/>
    <xf numFmtId="165" fontId="0" fillId="6" borderId="1" pivotButton="0" quotePrefix="0" xfId="1"/>
    <xf numFmtId="165" fontId="0" fillId="7" borderId="1" pivotButton="0" quotePrefix="0" xfId="1"/>
    <xf numFmtId="165" fontId="0" fillId="5" borderId="1" pivotButton="0" quotePrefix="0" xfId="1"/>
    <xf numFmtId="165" fontId="0" fillId="8" borderId="1" pivotButton="0" quotePrefix="0" xfId="1"/>
    <xf numFmtId="164" fontId="5" fillId="6" borderId="1" pivotButton="0" quotePrefix="0" xfId="1"/>
    <xf numFmtId="164" fontId="5" fillId="7" borderId="1" pivotButton="0" quotePrefix="0" xfId="1"/>
    <xf numFmtId="164" fontId="5" fillId="8" borderId="1" pivotButton="0" quotePrefix="0" xfId="1"/>
    <xf numFmtId="165" fontId="6" fillId="4" borderId="1" pivotButton="0" quotePrefix="0" xfId="1"/>
    <xf numFmtId="0" fontId="1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165" fontId="6" fillId="4" borderId="1" pivotButton="0" quotePrefix="0" xfId="1"/>
    <xf numFmtId="165" fontId="5" fillId="5" borderId="1" pivotButton="0" quotePrefix="0" xfId="1"/>
    <xf numFmtId="165" fontId="5" fillId="0" borderId="1" pivotButton="0" quotePrefix="0" xfId="1"/>
    <xf numFmtId="165" fontId="4" fillId="3" borderId="1" pivotButton="0" quotePrefix="0" xfId="1"/>
    <xf numFmtId="165" fontId="0" fillId="0" borderId="0" pivotButton="0" quotePrefix="0" xfId="1"/>
    <xf numFmtId="165" fontId="0" fillId="6" borderId="1" pivotButton="0" quotePrefix="0" xfId="1"/>
    <xf numFmtId="164" fontId="5" fillId="6" borderId="1" pivotButton="0" quotePrefix="0" xfId="1"/>
    <xf numFmtId="165" fontId="0" fillId="7" borderId="1" pivotButton="0" quotePrefix="0" xfId="1"/>
    <xf numFmtId="164" fontId="5" fillId="7" borderId="1" pivotButton="0" quotePrefix="0" xfId="1"/>
    <xf numFmtId="165" fontId="0" fillId="5" borderId="1" pivotButton="0" quotePrefix="0" xfId="1"/>
    <xf numFmtId="164" fontId="5" fillId="5" borderId="1" pivotButton="0" quotePrefix="0" xfId="1"/>
    <xf numFmtId="165" fontId="0" fillId="8" borderId="1" pivotButton="0" quotePrefix="0" xfId="1"/>
    <xf numFmtId="164" fontId="5" fillId="8" borderId="1" pivotButton="0" quotePrefix="0" xfId="1"/>
  </cellXfs>
  <cellStyles count="2">
    <cellStyle name="Normal" xfId="0" builtinId="0"/>
    <cellStyle name="Currency" xfId="1" builtinId="4"/>
  </cellStyles>
  <dxfs count="1">
    <dxf>
      <font>
        <b val="1"/>
        <color rgb="FFA61D3A"/>
      </font>
      <fill>
        <patternFill patternType="solid">
          <fgColor rgb="FFFFEBEE"/>
          <bgColor rgb="FFFFEB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A8B7A"/>
    <outlinePr summaryBelow="1" summaryRight="1"/>
    <pageSetUpPr/>
  </sheetPr>
  <dimension ref="A1:D23"/>
  <sheetViews>
    <sheetView tabSelected="1" workbookViewId="0">
      <selection activeCell="C34" sqref="C34"/>
    </sheetView>
  </sheetViews>
  <sheetFormatPr baseColWidth="8" defaultRowHeight="15"/>
  <cols>
    <col width="35" customWidth="1" style="36" min="1" max="1"/>
    <col width="18" customWidth="1" style="36" min="2" max="2"/>
    <col width="12" customWidth="1" style="36" min="3" max="3"/>
    <col width="45" customWidth="1" style="36" min="4" max="4"/>
  </cols>
  <sheetData>
    <row r="1" ht="18.75" customHeight="1" s="36">
      <c r="A1" s="35" t="inlineStr">
        <is>
          <t>PleoChrome — Deal Assumptions</t>
        </is>
      </c>
    </row>
    <row r="2">
      <c r="A2" s="37" t="inlineStr">
        <is>
          <t>Yellow cells are editable inputs. Blue cells are calculated. All costs in USD.</t>
        </is>
      </c>
    </row>
    <row r="4">
      <c r="A4" s="1" t="inlineStr">
        <is>
          <t>Parameter</t>
        </is>
      </c>
      <c r="B4" s="1" t="inlineStr">
        <is>
          <t>Value</t>
        </is>
      </c>
      <c r="C4" s="1" t="inlineStr">
        <is>
          <t>Unit</t>
        </is>
      </c>
      <c r="D4" s="1" t="inlineStr">
        <is>
          <t>Source / Justification</t>
        </is>
      </c>
    </row>
    <row r="5">
      <c r="A5" s="2" t="inlineStr">
        <is>
          <t>ASSET DETAILS</t>
        </is>
      </c>
      <c r="B5" s="2" t="n"/>
      <c r="C5" s="2" t="n"/>
      <c r="D5" s="2" t="n"/>
    </row>
    <row r="6">
      <c r="A6" s="3" t="inlineStr">
        <is>
          <t>Stone Type</t>
        </is>
      </c>
      <c r="B6" s="4" t="inlineStr">
        <is>
          <t>Burmese Ruby</t>
        </is>
      </c>
      <c r="C6" s="3" t="n"/>
      <c r="D6" s="5" t="inlineStr">
        <is>
          <t>Pigeon's blood, Mogok origin</t>
        </is>
      </c>
    </row>
    <row r="7">
      <c r="A7" s="3" t="inlineStr">
        <is>
          <t>Carat Weight</t>
        </is>
      </c>
      <c r="B7" s="6" t="n">
        <v>55</v>
      </c>
      <c r="C7" s="3" t="inlineStr">
        <is>
          <t>ct</t>
        </is>
      </c>
      <c r="D7" s="5" t="inlineStr">
        <is>
          <t>Comparable: Estrela de Fura (55.22ct, $34.8M)</t>
        </is>
      </c>
    </row>
    <row r="8">
      <c r="A8" s="3" t="inlineStr">
        <is>
          <t>Treatment</t>
        </is>
      </c>
      <c r="B8" s="4" t="inlineStr">
        <is>
          <t>No Heat</t>
        </is>
      </c>
      <c r="C8" s="3" t="n"/>
      <c r="D8" s="5" t="inlineStr">
        <is>
          <t>Unheated commands 2-5x premium</t>
        </is>
      </c>
    </row>
    <row r="9">
      <c r="A9" s="3" t="inlineStr">
        <is>
          <t>Claimed Asset Value</t>
        </is>
      </c>
      <c r="B9" s="38" t="n">
        <v>55000000</v>
      </c>
      <c r="C9" s="3" t="inlineStr">
        <is>
          <t>$</t>
        </is>
      </c>
      <c r="D9" s="5" t="inlineStr">
        <is>
          <t>Enter the stone owner's claimed value</t>
        </is>
      </c>
    </row>
    <row r="10">
      <c r="A10" s="3" t="inlineStr">
        <is>
          <t>Appraisal Discount (%)</t>
        </is>
      </c>
      <c r="B10" s="8" t="n">
        <v>0.127</v>
      </c>
      <c r="C10" s="3" t="inlineStr">
        <is>
          <t>%</t>
        </is>
      </c>
      <c r="D10" s="5" t="inlineStr">
        <is>
          <t>3-Appraisal Rule: avg of 2 lowest typically 10-15% below claimed</t>
        </is>
      </c>
    </row>
    <row r="11">
      <c r="A11" s="3" t="inlineStr">
        <is>
          <t>Offering Value</t>
        </is>
      </c>
      <c r="B11" s="39">
        <f>B9*(1-B10)</f>
        <v/>
      </c>
      <c r="C11" s="3" t="inlineStr">
        <is>
          <t>$</t>
        </is>
      </c>
      <c r="D11" s="5" t="inlineStr">
        <is>
          <t>Claimed Value x (1 - Appraisal Discount)</t>
        </is>
      </c>
    </row>
    <row r="12">
      <c r="A12" s="3" t="inlineStr">
        <is>
          <t>Token Price (Min Investment)</t>
        </is>
      </c>
      <c r="B12" s="38" t="n">
        <v>100000</v>
      </c>
      <c r="C12" s="3" t="inlineStr">
        <is>
          <t>$</t>
        </is>
      </c>
      <c r="D12" s="5" t="inlineStr">
        <is>
          <t>Reg D 506(c) accredited; $200K+ allows self-certification</t>
        </is>
      </c>
    </row>
    <row r="13">
      <c r="A13" s="3" t="inlineStr">
        <is>
          <t>Total Tokens</t>
        </is>
      </c>
      <c r="B13" s="9">
        <f>INT(B11/B12)</f>
        <v/>
      </c>
      <c r="C13" s="3" t="inlineStr">
        <is>
          <t>#</t>
        </is>
      </c>
      <c r="D13" s="5" t="inlineStr">
        <is>
          <t>Offering Value / Token Price</t>
        </is>
      </c>
    </row>
    <row r="15">
      <c r="A15" s="2" t="inlineStr">
        <is>
          <t>PLEOCHROME FEE STRUCTURE</t>
        </is>
      </c>
      <c r="B15" s="2" t="n"/>
      <c r="C15" s="2" t="n"/>
      <c r="D15" s="2" t="n"/>
    </row>
    <row r="16">
      <c r="A16" s="3" t="inlineStr">
        <is>
          <t>Setup Fee Rate</t>
        </is>
      </c>
      <c r="B16" s="8" t="n">
        <v>0.02</v>
      </c>
      <c r="C16" s="3" t="inlineStr">
        <is>
          <t>%</t>
        </is>
      </c>
      <c r="D16" s="5" t="inlineStr">
        <is>
          <t>Industry standard 1-3%. Collected at engagement.</t>
        </is>
      </c>
    </row>
    <row r="17">
      <c r="A17" s="3" t="inlineStr">
        <is>
          <t>Success Fee Rate</t>
        </is>
      </c>
      <c r="B17" s="8" t="n">
        <v>0.015</v>
      </c>
      <c r="C17" s="3" t="inlineStr">
        <is>
          <t>%</t>
        </is>
      </c>
      <c r="D17" s="5" t="inlineStr">
        <is>
          <t>0.5-3%. Collected at token sale close. $0 if offering fails.</t>
        </is>
      </c>
    </row>
    <row r="18">
      <c r="A18" s="3" t="inlineStr">
        <is>
          <t>Annual Admin Fee Rate</t>
        </is>
      </c>
      <c r="B18" s="8" t="n">
        <v>0.0075</v>
      </c>
      <c r="C18" s="3" t="inlineStr">
        <is>
          <t>%</t>
        </is>
      </c>
      <c r="D18" s="5" t="inlineStr">
        <is>
          <t>0.5-1.0%. Recurring revenue starting Year 2.</t>
        </is>
      </c>
    </row>
    <row r="19">
      <c r="A19" s="3" t="inlineStr">
        <is>
          <t>BD Placement Rate</t>
        </is>
      </c>
      <c r="B19" s="8" t="n">
        <v>0.07000000000000001</v>
      </c>
      <c r="C19" s="3" t="inlineStr">
        <is>
          <t>%</t>
        </is>
      </c>
      <c r="D19" s="5" t="inlineStr">
        <is>
          <t>5-7% for broker-dealer distribution. 0% if direct placement.</t>
        </is>
      </c>
    </row>
    <row r="20">
      <c r="A20" s="3" t="inlineStr">
        <is>
          <t>Setup Fee ($)</t>
        </is>
      </c>
      <c r="B20" s="39">
        <f>B9*B16</f>
        <v/>
      </c>
      <c r="C20" s="3" t="inlineStr">
        <is>
          <t>$</t>
        </is>
      </c>
      <c r="D20" s="5" t="inlineStr">
        <is>
          <t>Asset Value x Setup Fee Rate</t>
        </is>
      </c>
    </row>
    <row r="21">
      <c r="A21" s="3" t="inlineStr">
        <is>
          <t>Success Fee ($)</t>
        </is>
      </c>
      <c r="B21" s="39">
        <f>B11*B17</f>
        <v/>
      </c>
      <c r="C21" s="3" t="inlineStr">
        <is>
          <t>$</t>
        </is>
      </c>
      <c r="D21" s="5" t="inlineStr">
        <is>
          <t>Offering Value x Success Fee Rate</t>
        </is>
      </c>
    </row>
    <row r="22">
      <c r="A22" s="3" t="inlineStr">
        <is>
          <t>Annual Admin Fee ($)</t>
        </is>
      </c>
      <c r="B22" s="39">
        <f>B11*B18</f>
        <v/>
      </c>
      <c r="C22" s="3" t="inlineStr">
        <is>
          <t>$</t>
        </is>
      </c>
      <c r="D22" s="5" t="inlineStr">
        <is>
          <t>Offering Value x Admin Fee Rate</t>
        </is>
      </c>
    </row>
    <row r="23">
      <c r="A23" s="3" t="inlineStr">
        <is>
          <t>BD Placement Fee ($)</t>
        </is>
      </c>
      <c r="B23" s="39">
        <f>B11*B19</f>
        <v/>
      </c>
      <c r="C23" s="3" t="inlineStr">
        <is>
          <t>$</t>
        </is>
      </c>
      <c r="D23" s="5" t="inlineStr">
        <is>
          <t>Offering Value x BD Rate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B6B4A"/>
    <outlinePr summaryBelow="1" summaryRight="1"/>
    <pageSetUpPr/>
  </sheetPr>
  <dimension ref="A1:F48"/>
  <sheetViews>
    <sheetView workbookViewId="0">
      <selection activeCell="E3" sqref="E1:E1048576"/>
    </sheetView>
  </sheetViews>
  <sheetFormatPr baseColWidth="8" defaultRowHeight="15"/>
  <cols>
    <col width="35" customWidth="1" style="36" min="1" max="1"/>
    <col width="19.42578125" customWidth="1" style="36" min="2" max="2"/>
    <col width="17.42578125" bestFit="1" customWidth="1" style="36" min="3" max="3"/>
    <col width="17.7109375" bestFit="1" customWidth="1" style="36" min="4" max="4"/>
    <col width="24.85546875" customWidth="1" style="36" min="5" max="5"/>
    <col width="67.7109375" customWidth="1" style="36" min="6" max="6"/>
  </cols>
  <sheetData>
    <row r="1" ht="18.75" customHeight="1" s="36">
      <c r="A1" s="35" t="inlineStr">
        <is>
          <t>Stone-Level Deal Model — Phase-by-Phase Costs</t>
        </is>
      </c>
    </row>
    <row r="2">
      <c r="A2" s="37" t="inlineStr">
        <is>
          <t>Yellow = editable override. Blue = auto-calculated from Assumptions tab.</t>
        </is>
      </c>
    </row>
    <row r="4">
      <c r="A4" s="1" t="n"/>
      <c r="B4" s="1" t="inlineStr">
        <is>
          <t>Offering Value</t>
        </is>
      </c>
      <c r="C4" s="1" t="inlineStr">
        <is>
          <t>PleoChrome Costs</t>
        </is>
      </c>
      <c r="D4" s="1" t="inlineStr">
        <is>
          <t>Asset Holder Costs</t>
        </is>
      </c>
      <c r="E4" s="1" t="inlineStr">
        <is>
          <t>BD Fee</t>
        </is>
      </c>
      <c r="F4" s="1" t="inlineStr">
        <is>
          <t>Net to Holder</t>
        </is>
      </c>
    </row>
    <row r="5">
      <c r="A5" s="10" t="inlineStr">
        <is>
          <t>TOTALS</t>
        </is>
      </c>
      <c r="B5" s="39">
        <f>Assumptions!B11</f>
        <v/>
      </c>
      <c r="C5" s="39">
        <f>D45</f>
        <v/>
      </c>
      <c r="D5" s="39">
        <f>D46</f>
        <v/>
      </c>
      <c r="E5" s="39">
        <f>D47</f>
        <v/>
      </c>
      <c r="F5" s="11">
        <f>Assumptions!B11-D45-D46-D47-Assumptions!B20-Assumptions!B21</f>
        <v/>
      </c>
    </row>
    <row r="7">
      <c r="A7" s="1" t="inlineStr">
        <is>
          <t>Line Item</t>
        </is>
      </c>
      <c r="B7" s="1" t="inlineStr">
        <is>
          <t>Default ($)</t>
        </is>
      </c>
      <c r="C7" s="1" t="inlineStr">
        <is>
          <t>Override ($)</t>
        </is>
      </c>
      <c r="D7" s="1" t="inlineStr">
        <is>
          <t>Actual ($)</t>
        </is>
      </c>
      <c r="E7" s="1" t="inlineStr">
        <is>
          <t>Paid By</t>
        </is>
      </c>
      <c r="F7" s="1" t="inlineStr">
        <is>
          <t>Source / When Due</t>
        </is>
      </c>
    </row>
    <row r="8">
      <c r="A8" s="2" t="inlineStr">
        <is>
          <t>PHASE 1: ACQUISITION (Days 1-14)</t>
        </is>
      </c>
      <c r="B8" s="2" t="n"/>
      <c r="C8" s="2" t="n"/>
      <c r="D8" s="2" t="n"/>
      <c r="E8" s="2" t="n"/>
      <c r="F8" s="2" t="n"/>
    </row>
    <row r="9">
      <c r="A9" s="3" t="inlineStr">
        <is>
          <t>KYC / KYB on Asset Holder</t>
        </is>
      </c>
      <c r="B9" s="40" t="n">
        <v>50</v>
      </c>
      <c r="C9" s="7" t="n"/>
      <c r="D9" s="39">
        <f>IF(C9&lt;&gt;"",C9,B9)</f>
        <v/>
      </c>
      <c r="E9" s="3" t="inlineStr">
        <is>
          <t>PleoChrome</t>
        </is>
      </c>
      <c r="F9" s="3" t="inlineStr">
        <is>
          <t>Veriff/Sumsub $0.80/check. Brickken includes 150. | Day 1-3</t>
        </is>
      </c>
    </row>
    <row r="10">
      <c r="A10" s="3" t="inlineStr">
        <is>
          <t>Sanctions &amp; PEP Screening</t>
        </is>
      </c>
      <c r="B10" s="40" t="n">
        <v>100</v>
      </c>
      <c r="C10" s="7" t="n"/>
      <c r="D10" s="39">
        <f>IF(C10&lt;&gt;"",C10,B10)</f>
        <v/>
      </c>
      <c r="E10" s="3" t="inlineStr">
        <is>
          <t>PleoChrome</t>
        </is>
      </c>
      <c r="F10" s="3" t="inlineStr">
        <is>
          <t>OFAC/EU/UN screening. Bundled with KYC or $10-50/ea. | Day 1-3</t>
        </is>
      </c>
    </row>
    <row r="11">
      <c r="A11" s="3" t="inlineStr">
        <is>
          <t>Provenance Research</t>
        </is>
      </c>
      <c r="B11" s="40" t="n">
        <v>2500</v>
      </c>
      <c r="C11" s="7" t="n"/>
      <c r="D11" s="39">
        <f>IF(C11&lt;&gt;"",C11,B11)</f>
        <v/>
      </c>
      <c r="E11" s="3" t="inlineStr">
        <is>
          <t>Asset Holder</t>
        </is>
      </c>
      <c r="F11" s="3" t="inlineStr">
        <is>
          <t>Legal title search. 10-20hrs at $150-$250/hr. | Day 3-10</t>
        </is>
      </c>
    </row>
    <row r="12">
      <c r="A12" s="3" t="inlineStr">
        <is>
          <t>Intake Agreement (Legal)</t>
        </is>
      </c>
      <c r="B12" s="40" t="n">
        <v>2500</v>
      </c>
      <c r="C12" s="7" t="n"/>
      <c r="D12" s="39">
        <f>IF(C12&lt;&gt;"",C12,B12)</f>
        <v/>
      </c>
      <c r="E12" s="3" t="inlineStr">
        <is>
          <t>PleoChrome</t>
        </is>
      </c>
      <c r="F12" s="3" t="inlineStr">
        <is>
          <t>Boutique attorney. Template after first deal. | Day 5-14</t>
        </is>
      </c>
    </row>
    <row r="13">
      <c r="A13" s="2" t="inlineStr">
        <is>
          <t>PHASE 2: PREPARATION (Days 14-84)</t>
        </is>
      </c>
      <c r="B13" s="41" t="n"/>
      <c r="C13" s="2" t="n"/>
      <c r="D13" s="41" t="n"/>
      <c r="E13" s="2" t="n"/>
      <c r="F13" s="2" t="n"/>
    </row>
    <row r="14">
      <c r="A14" s="3" t="inlineStr">
        <is>
          <t>GIA Grading Report</t>
        </is>
      </c>
      <c r="B14" s="40" t="n">
        <v>0</v>
      </c>
      <c r="C14" s="7" t="n"/>
      <c r="D14" s="39">
        <f>IF(C14&lt;&gt;"",C14,B14)</f>
        <v/>
      </c>
      <c r="E14" s="3" t="inlineStr">
        <is>
          <t>Asset Holder</t>
        </is>
      </c>
      <c r="F14" s="3" t="inlineStr">
        <is>
          <t>Most $50M+ stones already certified. $300-500 if needed. | Day 14-35</t>
        </is>
      </c>
    </row>
    <row r="15">
      <c r="A15" s="3" t="inlineStr">
        <is>
          <t>SSEF Origin Report</t>
        </is>
      </c>
      <c r="B15" s="40" t="n">
        <v>0</v>
      </c>
      <c r="C15" s="7" t="n"/>
      <c r="D15" s="39">
        <f>IF(C15&lt;&gt;"",C15,B15)</f>
        <v/>
      </c>
      <c r="E15" s="3" t="inlineStr">
        <is>
          <t>Asset Holder</t>
        </is>
      </c>
      <c r="F15" s="3" t="inlineStr">
        <is>
          <t>CHF 4,000 if needed. Likely already exists. | Day 14-35</t>
        </is>
      </c>
    </row>
    <row r="16">
      <c r="A16" s="3" t="inlineStr">
        <is>
          <t>Gubelin Report (Optional)</t>
        </is>
      </c>
      <c r="B16" s="40" t="n">
        <v>0</v>
      </c>
      <c r="C16" s="7" t="n"/>
      <c r="D16" s="39">
        <f>IF(C16&lt;&gt;"",C16,B16)</f>
        <v/>
      </c>
      <c r="E16" s="3" t="inlineStr">
        <is>
          <t>Asset Holder</t>
        </is>
      </c>
      <c r="F16" s="3" t="inlineStr">
        <is>
          <t>CHF 4,000-5,000 if needed for triple-lab cert. | Day 14-35</t>
        </is>
      </c>
    </row>
    <row r="17">
      <c r="A17" s="3" t="inlineStr">
        <is>
          <t>Independent Appraisal #1</t>
        </is>
      </c>
      <c r="B17" s="40" t="n">
        <v>7500</v>
      </c>
      <c r="C17" s="7" t="n"/>
      <c r="D17" s="39">
        <f>IF(C17&lt;&gt;"",C17,B17)</f>
        <v/>
      </c>
      <c r="E17" s="3" t="inlineStr">
        <is>
          <t>Asset Holder</t>
        </is>
      </c>
      <c r="F17" s="3" t="inlineStr">
        <is>
          <t>CGA/MGA, USPAP compliant. $150-250/hr × 20-40hrs. | Day 28-38</t>
        </is>
      </c>
    </row>
    <row r="18">
      <c r="A18" s="3" t="inlineStr">
        <is>
          <t>Independent Appraisal #2</t>
        </is>
      </c>
      <c r="B18" s="40" t="n">
        <v>7500</v>
      </c>
      <c r="C18" s="7" t="n"/>
      <c r="D18" s="39">
        <f>IF(C18&lt;&gt;"",C18,B18)</f>
        <v/>
      </c>
      <c r="E18" s="3" t="inlineStr">
        <is>
          <t>Asset Holder</t>
        </is>
      </c>
      <c r="F18" s="3" t="inlineStr">
        <is>
          <t>Sequential. Independent of Appraiser #1. | Day 38-48</t>
        </is>
      </c>
    </row>
    <row r="19">
      <c r="A19" s="3" t="inlineStr">
        <is>
          <t>Independent Appraisal #3</t>
        </is>
      </c>
      <c r="B19" s="40" t="n">
        <v>7500</v>
      </c>
      <c r="C19" s="7" t="n"/>
      <c r="D19" s="39">
        <f>IF(C19&lt;&gt;"",C19,B19)</f>
        <v/>
      </c>
      <c r="E19" s="3" t="inlineStr">
        <is>
          <t>Asset Holder</t>
        </is>
      </c>
      <c r="F19" s="3" t="inlineStr">
        <is>
          <t>Completes 3-Appraisal Rule. | Day 48-56</t>
        </is>
      </c>
    </row>
    <row r="20">
      <c r="A20" s="3" t="inlineStr">
        <is>
          <t>Transit Insurance</t>
        </is>
      </c>
      <c r="B20" s="40" t="n">
        <v>10000</v>
      </c>
      <c r="C20" s="7" t="n"/>
      <c r="D20" s="39">
        <f>IF(C20&lt;&gt;"",C20,B20)</f>
        <v/>
      </c>
      <c r="E20" s="3" t="inlineStr">
        <is>
          <t>Asset Holder</t>
        </is>
      </c>
      <c r="F20" s="3" t="inlineStr">
        <is>
          <t>2-4 insured transits at $2K-5K each. | Days 28-65</t>
        </is>
      </c>
    </row>
    <row r="21">
      <c r="A21" s="3" t="inlineStr">
        <is>
          <t>Vault Custody (Year 1)</t>
        </is>
      </c>
      <c r="B21" s="40" t="n">
        <v>55000</v>
      </c>
      <c r="C21" s="7" t="n"/>
      <c r="D21" s="39">
        <f>IF(C21&lt;&gt;"",C21,B21)</f>
        <v/>
      </c>
      <c r="E21" s="3" t="inlineStr">
        <is>
          <t>Asset Holder</t>
        </is>
      </c>
      <c r="F21" s="3" t="inlineStr">
        <is>
          <t>Brink's/Malca-Amit. 0.10% of value, negotiated. | Day 56+ ongoing</t>
        </is>
      </c>
    </row>
    <row r="22">
      <c r="A22" s="3" t="inlineStr">
        <is>
          <t>Specie Insurance (Year 1)</t>
        </is>
      </c>
      <c r="B22" s="40" t="n">
        <v>55000</v>
      </c>
      <c r="C22" s="7" t="n"/>
      <c r="D22" s="39">
        <f>IF(C22&lt;&gt;"",C22,B22)</f>
        <v/>
      </c>
      <c r="E22" s="3" t="inlineStr">
        <is>
          <t>Asset Holder</t>
        </is>
      </c>
      <c r="F22" s="3" t="inlineStr">
        <is>
          <t>Lloyd's/AXA XL. 0.10% vault-stored rate. | Day 56+ ongoing</t>
        </is>
      </c>
    </row>
    <row r="23">
      <c r="A23" s="3" t="inlineStr">
        <is>
          <t>Chainlink Oracle Integration</t>
        </is>
      </c>
      <c r="B23" s="40" t="n">
        <v>2500</v>
      </c>
      <c r="C23" s="7" t="n"/>
      <c r="D23" s="39">
        <f>IF(C23&lt;&gt;"",C23,B23)</f>
        <v/>
      </c>
      <c r="E23" s="3" t="inlineStr">
        <is>
          <t>PleoChrome</t>
        </is>
      </c>
      <c r="F23" s="3" t="inlineStr">
        <is>
          <t>BUILD program or minimal LINK gas fees. | Day 42-70</t>
        </is>
      </c>
    </row>
    <row r="24">
      <c r="A24" s="3" t="inlineStr">
        <is>
          <t>Chainlink LINK Fees (Year 1)</t>
        </is>
      </c>
      <c r="B24" s="40" t="n">
        <v>1200</v>
      </c>
      <c r="C24" s="7" t="n"/>
      <c r="D24" s="39">
        <f>IF(C24&lt;&gt;"",C24,B24)</f>
        <v/>
      </c>
      <c r="E24" s="3" t="inlineStr">
        <is>
          <t>PleoChrome</t>
        </is>
      </c>
      <c r="F24" s="3" t="inlineStr">
        <is>
          <t>$100-200/mo for monthly PoR attestation. | Day 70+ ongoing</t>
        </is>
      </c>
    </row>
    <row r="25">
      <c r="A25" s="3" t="inlineStr">
        <is>
          <t>SPV Formation (Series LLC)</t>
        </is>
      </c>
      <c r="B25" s="40" t="n">
        <v>750</v>
      </c>
      <c r="C25" s="7" t="n"/>
      <c r="D25" s="39">
        <f>IF(C25&lt;&gt;"",C25,B25)</f>
        <v/>
      </c>
      <c r="E25" s="3" t="inlineStr">
        <is>
          <t>PleoChrome</t>
        </is>
      </c>
      <c r="F25" s="3" t="inlineStr">
        <is>
          <t>Wyoming $100 + RA $25/yr + template OA $500. | Day 30-45</t>
        </is>
      </c>
    </row>
    <row r="26">
      <c r="A26" s="3" t="inlineStr">
        <is>
          <t>PPM Drafting</t>
        </is>
      </c>
      <c r="B26" s="40" t="n">
        <v>10000</v>
      </c>
      <c r="C26" s="7" t="n"/>
      <c r="D26" s="39">
        <f>IF(C26&lt;&gt;"",C26,B26)</f>
        <v/>
      </c>
      <c r="E26" s="3" t="inlineStr">
        <is>
          <t>PleoChrome</t>
        </is>
      </c>
      <c r="F26" s="3" t="inlineStr">
        <is>
          <t>Boutique securities attorney. $7.5K-12K flat. | Day 35-70</t>
        </is>
      </c>
    </row>
    <row r="27">
      <c r="A27" s="3" t="inlineStr">
        <is>
          <t>Subscription Agreement</t>
        </is>
      </c>
      <c r="B27" s="40" t="n">
        <v>2000</v>
      </c>
      <c r="C27" s="7" t="n"/>
      <c r="D27" s="39">
        <f>IF(C27&lt;&gt;"",C27,B27)</f>
        <v/>
      </c>
      <c r="E27" s="3" t="inlineStr">
        <is>
          <t>PleoChrome</t>
        </is>
      </c>
      <c r="F27" s="3" t="inlineStr">
        <is>
          <t>Often bundled with PPM. $1.5K-3K standalone. | Day 50-70</t>
        </is>
      </c>
    </row>
    <row r="28">
      <c r="A28" s="3" t="inlineStr">
        <is>
          <t>Token Purchase Agreement</t>
        </is>
      </c>
      <c r="B28" s="40" t="n">
        <v>2500</v>
      </c>
      <c r="C28" s="7" t="n"/>
      <c r="D28" s="39">
        <f>IF(C28&lt;&gt;"",C28,B28)</f>
        <v/>
      </c>
      <c r="E28" s="3" t="inlineStr">
        <is>
          <t>PleoChrome</t>
        </is>
      </c>
      <c r="F28" s="3" t="inlineStr">
        <is>
          <t>Links on-chain token to SPV rights. $2K-3K. | Day 50-70</t>
        </is>
      </c>
    </row>
    <row r="29">
      <c r="A29" s="3" t="inlineStr">
        <is>
          <t>Photo &amp; Media</t>
        </is>
      </c>
      <c r="B29" s="40" t="n">
        <v>2000</v>
      </c>
      <c r="C29" s="7" t="n"/>
      <c r="D29" s="39">
        <f>IF(C29&lt;&gt;"",C29,B29)</f>
        <v/>
      </c>
      <c r="E29" s="3" t="inlineStr">
        <is>
          <t>Asset Holder</t>
        </is>
      </c>
      <c r="F29" s="3" t="inlineStr">
        <is>
          <t>8+ angles, macro, 360 video. $1K-3K. | Day 56-65</t>
        </is>
      </c>
    </row>
    <row r="30">
      <c r="A30" s="2" t="inlineStr">
        <is>
          <t>PHASE 3: TOKENIZATION (Days 63-84)</t>
        </is>
      </c>
      <c r="B30" s="41" t="n"/>
      <c r="C30" s="2" t="n"/>
      <c r="D30" s="41" t="n"/>
      <c r="E30" s="2" t="n"/>
      <c r="F30" s="2" t="n"/>
    </row>
    <row r="31">
      <c r="A31" s="3" t="inlineStr">
        <is>
          <t>Brickken Platform (Year 1)</t>
        </is>
      </c>
      <c r="B31" s="40" t="n">
        <v>5500</v>
      </c>
      <c r="C31" s="7" t="n"/>
      <c r="D31" s="39">
        <f>IF(C31&lt;&gt;"",C31,B31)</f>
        <v/>
      </c>
      <c r="E31" s="3" t="inlineStr">
        <is>
          <t>PleoChrome</t>
        </is>
      </c>
      <c r="F31" s="3" t="inlineStr">
        <is>
          <t>Advanced tier EUR 5,000/yr. Includes 150 KYCs. | Day 63</t>
        </is>
      </c>
    </row>
    <row r="32">
      <c r="A32" s="3" t="inlineStr">
        <is>
          <t>Configuration Review</t>
        </is>
      </c>
      <c r="B32" s="40" t="n">
        <v>3500</v>
      </c>
      <c r="C32" s="7" t="n"/>
      <c r="D32" s="39">
        <f>IF(C32&lt;&gt;"",C32,B32)</f>
        <v/>
      </c>
      <c r="E32" s="3" t="inlineStr">
        <is>
          <t>PleoChrome</t>
        </is>
      </c>
      <c r="F32" s="3" t="inlineStr">
        <is>
          <t>Not full audit — Brickken contracts pre-audited. | Day 63-75</t>
        </is>
      </c>
    </row>
    <row r="33">
      <c r="A33" s="3" t="inlineStr">
        <is>
          <t>Development &amp; Testing</t>
        </is>
      </c>
      <c r="B33" s="40" t="n">
        <v>5000</v>
      </c>
      <c r="C33" s="7" t="n"/>
      <c r="D33" s="39">
        <f>IF(C33&lt;&gt;"",C33,B33)</f>
        <v/>
      </c>
      <c r="E33" s="3" t="inlineStr">
        <is>
          <t>PleoChrome</t>
        </is>
      </c>
      <c r="F33" s="3" t="inlineStr">
        <is>
          <t>10-30hrs config + testnet deploy. $200-400/hr. | Day 65-80</t>
        </is>
      </c>
    </row>
    <row r="34">
      <c r="A34" s="3" t="inlineStr">
        <is>
          <t>Blockchain Gas Fees</t>
        </is>
      </c>
      <c r="B34" s="40" t="n">
        <v>100</v>
      </c>
      <c r="C34" s="7" t="n"/>
      <c r="D34" s="39">
        <f>IF(C34&lt;&gt;"",C34,B34)</f>
        <v/>
      </c>
      <c r="E34" s="3" t="inlineStr">
        <is>
          <t>PleoChrome</t>
        </is>
      </c>
      <c r="F34" s="3" t="inlineStr">
        <is>
          <t>Polygon: $0.01/tx. Multiple deploys = $50-200. | Day 80</t>
        </is>
      </c>
    </row>
    <row r="35">
      <c r="A35" s="3" t="inlineStr">
        <is>
          <t>Blue Sky Filings (5 States)</t>
        </is>
      </c>
      <c r="B35" s="40" t="n">
        <v>1500</v>
      </c>
      <c r="C35" s="7" t="n"/>
      <c r="D35" s="39">
        <f>IF(C35&lt;&gt;"",C35,B35)</f>
        <v/>
      </c>
      <c r="E35" s="3" t="inlineStr">
        <is>
          <t>PleoChrome</t>
        </is>
      </c>
      <c r="F35" s="3" t="inlineStr">
        <is>
          <t>3-5 target states. $100-500 each + filing service. | Day 80-84</t>
        </is>
      </c>
    </row>
    <row r="36">
      <c r="A36" s="2" t="inlineStr">
        <is>
          <t>PHASE 4: DISTRIBUTION (Days 84-120)</t>
        </is>
      </c>
      <c r="B36" s="41" t="n"/>
      <c r="C36" s="2" t="n"/>
      <c r="D36" s="41" t="n"/>
      <c r="E36" s="2" t="n"/>
      <c r="F36" s="2" t="n"/>
    </row>
    <row r="37">
      <c r="A37" s="3" t="inlineStr">
        <is>
          <t>Marketing &amp; Investor Acq.</t>
        </is>
      </c>
      <c r="B37" s="40" t="n">
        <v>3000</v>
      </c>
      <c r="C37" s="7" t="n"/>
      <c r="D37" s="39">
        <f>IF(C37&lt;&gt;"",C37,B37)</f>
        <v/>
      </c>
      <c r="E37" s="3" t="inlineStr">
        <is>
          <t>PleoChrome</t>
        </is>
      </c>
      <c r="F37" s="3" t="inlineStr">
        <is>
          <t>LinkedIn Sales Nav + ads + direct outreach. | Day 84-120</t>
        </is>
      </c>
    </row>
    <row r="38">
      <c r="A38" s="3" t="inlineStr">
        <is>
          <t>Investor KYC &amp; Accreditation</t>
        </is>
      </c>
      <c r="B38" s="40" t="n">
        <v>0</v>
      </c>
      <c r="C38" s="7" t="n"/>
      <c r="D38" s="39">
        <f>IF(C38&lt;&gt;"",C38,B38)</f>
        <v/>
      </c>
      <c r="E38" s="3" t="inlineStr">
        <is>
          <t>PleoChrome</t>
        </is>
      </c>
      <c r="F38" s="3" t="inlineStr">
        <is>
          <t>Covered by Brickken 150 KYCs. Self-cert for $200K+. | Day 90-120</t>
        </is>
      </c>
    </row>
    <row r="39">
      <c r="A39" s="3" t="inlineStr">
        <is>
          <t>Transfer Agent</t>
        </is>
      </c>
      <c r="B39" s="40" t="n">
        <v>0</v>
      </c>
      <c r="C39" s="7" t="n"/>
      <c r="D39" s="39">
        <f>IF(C39&lt;&gt;"",C39,B39)</f>
        <v/>
      </c>
      <c r="E39" s="3" t="inlineStr">
        <is>
          <t>PleoChrome</t>
        </is>
      </c>
      <c r="F39" s="3" t="inlineStr">
        <is>
          <t>ERC-3643 on-chain registry = TA per SEC Jan 2026. | N/A</t>
        </is>
      </c>
    </row>
    <row r="40">
      <c r="A40" s="3" t="inlineStr">
        <is>
          <t>Investor Portal / Data Room</t>
        </is>
      </c>
      <c r="B40" s="40" t="n">
        <v>0</v>
      </c>
      <c r="C40" s="7" t="n"/>
      <c r="D40" s="39">
        <f>IF(C40&lt;&gt;"",C40,B40)</f>
        <v/>
      </c>
      <c r="E40" s="3" t="inlineStr">
        <is>
          <t>PleoChrome</t>
        </is>
      </c>
      <c r="F40" s="3" t="inlineStr">
        <is>
          <t>Built on existing Vercel site or Google Drive. | Day 80</t>
        </is>
      </c>
    </row>
    <row r="41">
      <c r="A41" s="3" t="inlineStr">
        <is>
          <t>Compliance Monitoring (Year 1)</t>
        </is>
      </c>
      <c r="B41" s="40" t="n">
        <v>500</v>
      </c>
      <c r="C41" s="7" t="n"/>
      <c r="D41" s="39">
        <f>IF(C41&lt;&gt;"",C41,B41)</f>
        <v/>
      </c>
      <c r="E41" s="3" t="inlineStr">
        <is>
          <t>PleoChrome</t>
        </is>
      </c>
      <c r="F41" s="3" t="inlineStr">
        <is>
          <t>Built into Brickken + ERC-3643. Quarterly re-screen. | Day 120+ ongoing</t>
        </is>
      </c>
    </row>
    <row r="42">
      <c r="A42" s="3" t="inlineStr">
        <is>
          <t>Annual AML Audit</t>
        </is>
      </c>
      <c r="B42" s="40" t="n">
        <v>3500</v>
      </c>
      <c r="C42" s="7" t="n"/>
      <c r="D42" s="39">
        <f>IF(C42&lt;&gt;"",C42,B42)</f>
        <v/>
      </c>
      <c r="E42" s="3" t="inlineStr">
        <is>
          <t>PleoChrome</t>
        </is>
      </c>
      <c r="F42" s="3" t="inlineStr">
        <is>
          <t>Boutique compliance consultant. $3K-5K. | Month 12</t>
        </is>
      </c>
    </row>
    <row r="43">
      <c r="B43" s="42" t="n"/>
    </row>
    <row r="44">
      <c r="A44" s="2" t="inlineStr">
        <is>
          <t>COST SUMMARY</t>
        </is>
      </c>
      <c r="B44" s="2" t="n"/>
      <c r="C44" s="2" t="n"/>
      <c r="D44" s="2" t="n"/>
      <c r="E44" s="2" t="n"/>
      <c r="F44" s="2" t="n"/>
    </row>
    <row r="45">
      <c r="A45" s="10" t="inlineStr">
        <is>
          <t>PleoChrome Direct Costs</t>
        </is>
      </c>
      <c r="D45" s="39">
        <f>D9+D10+D12+D23+D24+D25+D26+D27+D28+D31+D32+D33+D34+D35+D37+D38+D39+D40+D41+D42</f>
        <v/>
      </c>
    </row>
    <row r="46">
      <c r="A46" s="10" t="inlineStr">
        <is>
          <t>Asset Holder Pass-Through Costs</t>
        </is>
      </c>
      <c r="D46" s="39">
        <f>D11+D14+D15+D16+D17+D18+D19+D20+D21+D22+D29</f>
        <v/>
      </c>
    </row>
    <row r="47">
      <c r="A47" s="10" t="inlineStr">
        <is>
          <t>BD Placement Fee</t>
        </is>
      </c>
      <c r="D47" s="39">
        <f>Assumptions!B23</f>
        <v/>
      </c>
    </row>
    <row r="48">
      <c r="A48" s="12" t="inlineStr">
        <is>
          <t>TOTAL ALL COSTS</t>
        </is>
      </c>
      <c r="D48" s="39">
        <f>D45+D46+D47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1E3A6E"/>
    <outlinePr summaryBelow="1" summaryRight="1"/>
    <pageSetUpPr/>
  </sheetPr>
  <dimension ref="A1:G27"/>
  <sheetViews>
    <sheetView workbookViewId="0">
      <selection activeCell="C26" sqref="C26"/>
    </sheetView>
  </sheetViews>
  <sheetFormatPr baseColWidth="8" defaultRowHeight="15"/>
  <cols>
    <col width="35" customWidth="1" style="36" min="1" max="1"/>
    <col width="15" customWidth="1" style="36" min="2" max="7"/>
  </cols>
  <sheetData>
    <row r="1" ht="18.75" customHeight="1" s="36">
      <c r="A1" s="35" t="inlineStr">
        <is>
          <t>PleoChrome P&amp;L — Per-Deal + 5-Year Projection</t>
        </is>
      </c>
    </row>
    <row r="3">
      <c r="A3" s="1" t="inlineStr">
        <is>
          <t>Revenue Stream</t>
        </is>
      </c>
      <c r="B3" s="1" t="inlineStr">
        <is>
          <t>Year 1</t>
        </is>
      </c>
      <c r="C3" s="1" t="inlineStr">
        <is>
          <t>Year 2</t>
        </is>
      </c>
      <c r="D3" s="1" t="inlineStr">
        <is>
          <t>Year 3</t>
        </is>
      </c>
      <c r="E3" s="1" t="inlineStr">
        <is>
          <t>Year 4</t>
        </is>
      </c>
      <c r="F3" s="1" t="inlineStr">
        <is>
          <t>Year 5</t>
        </is>
      </c>
      <c r="G3" s="1" t="inlineStr">
        <is>
          <t>5-Year Total</t>
        </is>
      </c>
    </row>
    <row r="4">
      <c r="A4" s="3" t="inlineStr">
        <is>
          <t>Setup Fee</t>
        </is>
      </c>
      <c r="B4" s="39">
        <f>Assumptions!B20</f>
        <v/>
      </c>
      <c r="C4" s="39" t="n">
        <v>0</v>
      </c>
      <c r="D4" s="39" t="n">
        <v>0</v>
      </c>
      <c r="E4" s="39" t="n">
        <v>0</v>
      </c>
      <c r="F4" s="39" t="n">
        <v>0</v>
      </c>
      <c r="G4" s="39">
        <f>SUM(B4:F4)</f>
        <v/>
      </c>
    </row>
    <row r="5">
      <c r="A5" s="3" t="inlineStr">
        <is>
          <t>Success Fee</t>
        </is>
      </c>
      <c r="B5" s="39">
        <f>Assumptions!B21</f>
        <v/>
      </c>
      <c r="C5" s="39" t="n">
        <v>0</v>
      </c>
      <c r="D5" s="39" t="n">
        <v>0</v>
      </c>
      <c r="E5" s="39" t="n">
        <v>0</v>
      </c>
      <c r="F5" s="39" t="n">
        <v>0</v>
      </c>
      <c r="G5" s="39">
        <f>SUM(B5:F5)</f>
        <v/>
      </c>
    </row>
    <row r="6">
      <c r="A6" s="3" t="inlineStr">
        <is>
          <t>Secondary Transfer Fees (est.)</t>
        </is>
      </c>
      <c r="B6" s="39" t="n">
        <v>12000</v>
      </c>
      <c r="C6" s="39" t="n">
        <v>24000</v>
      </c>
      <c r="D6" s="39" t="n">
        <v>24000</v>
      </c>
      <c r="E6" s="39" t="n">
        <v>24000</v>
      </c>
      <c r="F6" s="39" t="n">
        <v>24000</v>
      </c>
      <c r="G6" s="39">
        <f>SUM(B6:F6)</f>
        <v/>
      </c>
    </row>
    <row r="7">
      <c r="A7" s="3" t="inlineStr">
        <is>
          <t>Annual Admin Fee</t>
        </is>
      </c>
      <c r="B7" s="39" t="n">
        <v>0</v>
      </c>
      <c r="C7" s="39">
        <f>Assumptions!B22</f>
        <v/>
      </c>
      <c r="D7" s="39">
        <f>Assumptions!B22</f>
        <v/>
      </c>
      <c r="E7" s="39">
        <f>Assumptions!B22</f>
        <v/>
      </c>
      <c r="F7" s="39">
        <f>Assumptions!B22</f>
        <v/>
      </c>
      <c r="G7" s="39">
        <f>SUM(B7:F7)</f>
        <v/>
      </c>
    </row>
    <row r="8">
      <c r="A8" s="3" t="inlineStr">
        <is>
          <t>Valuation Refresh Fee</t>
        </is>
      </c>
      <c r="B8" s="39" t="n">
        <v>0</v>
      </c>
      <c r="C8" s="39" t="n">
        <v>25000</v>
      </c>
      <c r="D8" s="39" t="n">
        <v>25000</v>
      </c>
      <c r="E8" s="39" t="n">
        <v>25000</v>
      </c>
      <c r="F8" s="39" t="n">
        <v>25000</v>
      </c>
      <c r="G8" s="39">
        <f>SUM(B8:F8)</f>
        <v/>
      </c>
    </row>
    <row r="9">
      <c r="A9" s="13" t="inlineStr">
        <is>
          <t>TOTAL REVENUE</t>
        </is>
      </c>
      <c r="B9" s="39">
        <f>SUM(B4:B8)</f>
        <v/>
      </c>
      <c r="C9" s="39">
        <f>SUM(C4:C8)</f>
        <v/>
      </c>
      <c r="D9" s="39">
        <f>SUM(D4:D8)</f>
        <v/>
      </c>
      <c r="E9" s="39">
        <f>SUM(E4:E8)</f>
        <v/>
      </c>
      <c r="F9" s="39">
        <f>SUM(F4:F8)</f>
        <v/>
      </c>
      <c r="G9" s="39">
        <f>SUM(G4:G8)</f>
        <v/>
      </c>
    </row>
    <row r="11">
      <c r="A11" s="2" t="inlineStr">
        <is>
          <t>COSTS</t>
        </is>
      </c>
      <c r="B11" s="2" t="n"/>
      <c r="C11" s="2" t="n"/>
      <c r="D11" s="2" t="n"/>
      <c r="E11" s="2" t="n"/>
      <c r="F11" s="2" t="n"/>
      <c r="G11" s="2" t="n"/>
    </row>
    <row r="12">
      <c r="A12" t="inlineStr">
        <is>
          <t>PleoChrome Direct Costs</t>
        </is>
      </c>
      <c r="B12" s="39">
        <f>'Deal Model'!D45</f>
        <v/>
      </c>
      <c r="C12" s="39" t="n">
        <v>0</v>
      </c>
      <c r="D12" s="39" t="n">
        <v>0</v>
      </c>
      <c r="E12" s="39" t="n">
        <v>0</v>
      </c>
      <c r="F12" s="39" t="n">
        <v>0</v>
      </c>
      <c r="G12" s="39">
        <f>SUM(B12:F12)</f>
        <v/>
      </c>
    </row>
    <row r="13">
      <c r="A13" t="inlineStr">
        <is>
          <t>Annual Ongoing (PleoChrome share)</t>
        </is>
      </c>
      <c r="B13" s="39" t="n">
        <v>0</v>
      </c>
      <c r="C13" s="39" t="n">
        <v>15000</v>
      </c>
      <c r="D13" s="39" t="n">
        <v>15000</v>
      </c>
      <c r="E13" s="39" t="n">
        <v>15000</v>
      </c>
      <c r="F13" s="39" t="n">
        <v>15000</v>
      </c>
      <c r="G13" s="39">
        <f>SUM(B13:F13)</f>
        <v/>
      </c>
    </row>
    <row r="14">
      <c r="A14" s="15" t="inlineStr">
        <is>
          <t>TOTAL COSTS</t>
        </is>
      </c>
      <c r="B14" s="39">
        <f>SUM(B12:B13)</f>
        <v/>
      </c>
      <c r="C14" s="39">
        <f>SUM(C12:C13)</f>
        <v/>
      </c>
      <c r="D14" s="39">
        <f>SUM(D12:D13)</f>
        <v/>
      </c>
      <c r="E14" s="39">
        <f>SUM(E12:E13)</f>
        <v/>
      </c>
      <c r="F14" s="39">
        <f>SUM(F12:F13)</f>
        <v/>
      </c>
      <c r="G14" s="39">
        <f>SUM(G12:G13)</f>
        <v/>
      </c>
    </row>
    <row r="15">
      <c r="A15" s="12" t="inlineStr">
        <is>
          <t>NET INCOME</t>
        </is>
      </c>
      <c r="B15" s="39">
        <f>B9-B14</f>
        <v/>
      </c>
      <c r="C15" s="39">
        <f>C9-C14</f>
        <v/>
      </c>
      <c r="D15" s="39">
        <f>D9-D14</f>
        <v/>
      </c>
      <c r="E15" s="39">
        <f>E9-E14</f>
        <v/>
      </c>
      <c r="F15" s="39">
        <f>F9-F14</f>
        <v/>
      </c>
      <c r="G15" s="39">
        <f>G9-G14</f>
        <v/>
      </c>
    </row>
    <row r="16">
      <c r="A16" t="inlineStr">
        <is>
          <t>NET MARGIN</t>
        </is>
      </c>
      <c r="B16" s="39">
        <f>IF(B9=0,0,B15/B9)</f>
        <v/>
      </c>
      <c r="C16" s="39">
        <f>IF(C9=0,0,C15/C9)</f>
        <v/>
      </c>
      <c r="D16" s="39">
        <f>IF(D9=0,0,D15/D9)</f>
        <v/>
      </c>
      <c r="E16" s="39">
        <f>IF(E9=0,0,E15/E9)</f>
        <v/>
      </c>
      <c r="F16" s="39">
        <f>IF(F9=0,0,F15/F9)</f>
        <v/>
      </c>
      <c r="G16" s="39">
        <f>IF(G9=0,0,G15/G9)</f>
        <v/>
      </c>
    </row>
    <row r="19">
      <c r="A19" s="2" t="inlineStr">
        <is>
          <t>ASSET HOLDER ECONOMICS</t>
        </is>
      </c>
      <c r="B19" s="2" t="n"/>
      <c r="C19" s="2" t="n"/>
      <c r="D19" s="2" t="n"/>
      <c r="E19" s="2" t="n"/>
      <c r="F19" s="2" t="n"/>
      <c r="G19" s="2" t="n"/>
    </row>
    <row r="20">
      <c r="A20" s="3" t="inlineStr">
        <is>
          <t>Claimed Asset Value</t>
        </is>
      </c>
      <c r="B20" s="39">
        <f>Assumptions!B9</f>
        <v/>
      </c>
    </row>
    <row r="21">
      <c r="A21" s="3" t="inlineStr">
        <is>
          <t>Offering Value (after appraisal discount)</t>
        </is>
      </c>
      <c r="B21" s="39">
        <f>Assumptions!B11</f>
        <v/>
      </c>
    </row>
    <row r="22">
      <c r="A22" s="3" t="inlineStr">
        <is>
          <t>Less: BD Placement Fee</t>
        </is>
      </c>
      <c r="B22" s="39">
        <f>-Assumptions!B23</f>
        <v/>
      </c>
    </row>
    <row r="23">
      <c r="A23" s="3" t="inlineStr">
        <is>
          <t>Less: PleoChrome Setup Fee</t>
        </is>
      </c>
      <c r="B23" s="39">
        <f>-Assumptions!B20</f>
        <v/>
      </c>
    </row>
    <row r="24">
      <c r="A24" s="3" t="inlineStr">
        <is>
          <t>Less: PleoChrome Success Fee</t>
        </is>
      </c>
      <c r="B24" s="39">
        <f>-Assumptions!B21</f>
        <v/>
      </c>
    </row>
    <row r="25">
      <c r="A25" s="3" t="inlineStr">
        <is>
          <t>Less: Asset Holder Pass-Through Costs</t>
        </is>
      </c>
      <c r="B25" s="39">
        <f>-'Deal Model'!D46</f>
        <v/>
      </c>
    </row>
    <row r="26">
      <c r="A26" s="17" t="inlineStr">
        <is>
          <t>NET PROCEEDS TO ASSET HOLDER</t>
        </is>
      </c>
      <c r="B26" s="39">
        <f>SUM(B21:B25)</f>
        <v/>
      </c>
    </row>
    <row r="27">
      <c r="A27" t="inlineStr">
        <is>
          <t>% of Claimed Value</t>
        </is>
      </c>
      <c r="B27" s="16">
        <f>B26/B20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C47A1A"/>
    <outlinePr summaryBelow="1" summaryRight="1"/>
    <pageSetUpPr/>
  </sheetPr>
  <dimension ref="A1:E31"/>
  <sheetViews>
    <sheetView workbookViewId="0">
      <selection activeCell="E29" sqref="E29"/>
    </sheetView>
  </sheetViews>
  <sheetFormatPr baseColWidth="8" defaultRowHeight="15"/>
  <cols>
    <col width="30" customWidth="1" style="36" min="1" max="1"/>
    <col width="25.42578125" customWidth="1" style="36" min="2" max="2"/>
    <col width="31.42578125" customWidth="1" style="36" min="3" max="3"/>
    <col width="20" customWidth="1" style="36" min="4" max="4"/>
    <col width="48.42578125" customWidth="1" style="36" min="5" max="5"/>
  </cols>
  <sheetData>
    <row r="1" ht="18.75" customHeight="1" s="36">
      <c r="A1" s="35" t="inlineStr">
        <is>
          <t>Pricing Sources of Truth — All Assumptions Sourced</t>
        </is>
      </c>
    </row>
    <row r="3">
      <c r="A3" s="1" t="inlineStr">
        <is>
          <t>Cost Category</t>
        </is>
      </c>
      <c r="B3" s="1" t="inlineStr">
        <is>
          <t>Rate / Amount</t>
        </is>
      </c>
      <c r="C3" s="1" t="inlineStr">
        <is>
          <t>Basis</t>
        </is>
      </c>
      <c r="D3" s="1" t="inlineStr">
        <is>
          <t>Last Verified</t>
        </is>
      </c>
      <c r="E3" s="1" t="inlineStr">
        <is>
          <t>Source URL / Reference</t>
        </is>
      </c>
    </row>
    <row r="4">
      <c r="A4" s="3" t="inlineStr">
        <is>
          <t>GIA Colored Stone Report (50+ ct)</t>
        </is>
      </c>
      <c r="B4" s="3" t="inlineStr">
        <is>
          <t>$300-$500</t>
        </is>
      </c>
      <c r="C4" s="3" t="inlineStr">
        <is>
          <t>Per report</t>
        </is>
      </c>
      <c r="D4" s="3" t="inlineStr">
        <is>
          <t>Mar 2026</t>
        </is>
      </c>
      <c r="E4" s="18" t="inlineStr">
        <is>
          <t>gia.edu/gem-lab-fee-schedule</t>
        </is>
      </c>
    </row>
    <row r="5">
      <c r="A5" s="3" t="inlineStr">
        <is>
          <t>SSEF Origin Report (50-100 ct)</t>
        </is>
      </c>
      <c r="B5" s="3" t="inlineStr">
        <is>
          <t>CHF 4,000</t>
        </is>
      </c>
      <c r="C5" s="3" t="inlineStr">
        <is>
          <t>Per report</t>
        </is>
      </c>
      <c r="D5" s="3" t="inlineStr">
        <is>
          <t>Mar 2026</t>
        </is>
      </c>
      <c r="E5" s="18" t="inlineStr">
        <is>
          <t>ssef.ch/testing-prices</t>
        </is>
      </c>
    </row>
    <row r="6">
      <c r="A6" s="3" t="inlineStr">
        <is>
          <t>Gubelin ID + Origin</t>
        </is>
      </c>
      <c r="B6" s="3" t="inlineStr">
        <is>
          <t>~CHF 4,000</t>
        </is>
      </c>
      <c r="C6" s="3" t="inlineStr">
        <is>
          <t>Per report</t>
        </is>
      </c>
      <c r="D6" s="3" t="inlineStr">
        <is>
          <t>Mar 2026</t>
        </is>
      </c>
      <c r="E6" s="18" t="inlineStr">
        <is>
          <t>gubelingemlab.com</t>
        </is>
      </c>
    </row>
    <row r="7">
      <c r="A7" s="3" t="inlineStr">
        <is>
          <t>USPAP Appraisal (CGA/MGA)</t>
        </is>
      </c>
      <c r="B7" s="3" t="inlineStr">
        <is>
          <t>$150-$250/hr</t>
        </is>
      </c>
      <c r="C7" s="3" t="inlineStr">
        <is>
          <t>Hourly (not % of value)</t>
        </is>
      </c>
      <c r="D7" s="3" t="inlineStr">
        <is>
          <t>Mar 2026</t>
        </is>
      </c>
      <c r="E7" s="18" t="inlineStr">
        <is>
          <t>americangemsociety.org/CGA</t>
        </is>
      </c>
    </row>
    <row r="8">
      <c r="A8" s="3" t="inlineStr">
        <is>
          <t>Vault Custody (Brink's negotiated)</t>
        </is>
      </c>
      <c r="B8" s="3" t="inlineStr">
        <is>
          <t>0.10-0.15%</t>
        </is>
      </c>
      <c r="C8" s="3" t="inlineStr">
        <is>
          <t>Annual, of asset value</t>
        </is>
      </c>
      <c r="D8" s="3" t="inlineStr">
        <is>
          <t>Mar 2026</t>
        </is>
      </c>
      <c r="E8" s="18" t="inlineStr">
        <is>
          <t>us.brinks.com/precious-metals</t>
        </is>
      </c>
    </row>
    <row r="9">
      <c r="A9" s="3" t="inlineStr">
        <is>
          <t>Vault Custody (Malca-Amit FTZ)</t>
        </is>
      </c>
      <c r="B9" s="3" t="inlineStr">
        <is>
          <t>0.10-0.25%</t>
        </is>
      </c>
      <c r="C9" s="3" t="inlineStr">
        <is>
          <t>Annual, of asset value</t>
        </is>
      </c>
      <c r="D9" s="3" t="inlineStr">
        <is>
          <t>Mar 2026</t>
        </is>
      </c>
      <c r="E9" s="18" t="inlineStr">
        <is>
          <t>malca-amit.com/vaults-ftz</t>
        </is>
      </c>
    </row>
    <row r="10">
      <c r="A10" s="3" t="inlineStr">
        <is>
          <t>Specie Insurance (vault-stored)</t>
        </is>
      </c>
      <c r="B10" s="3" t="inlineStr">
        <is>
          <t>0.10-0.15%</t>
        </is>
      </c>
      <c r="C10" s="3" t="inlineStr">
        <is>
          <t>Annual, of insured value</t>
        </is>
      </c>
      <c r="D10" s="3" t="inlineStr">
        <is>
          <t>Mar 2026</t>
        </is>
      </c>
      <c r="E10" s="18" t="inlineStr">
        <is>
          <t>AXA XL / Lloyd's syndicate</t>
        </is>
      </c>
    </row>
    <row r="11">
      <c r="A11" s="3" t="inlineStr">
        <is>
          <t>Transit Insurance (inland marine)</t>
        </is>
      </c>
      <c r="B11" s="3" t="inlineStr">
        <is>
          <t>0.25-1.0%</t>
        </is>
      </c>
      <c r="C11" s="3" t="inlineStr">
        <is>
          <t>Per transit event</t>
        </is>
      </c>
      <c r="D11" s="3" t="inlineStr">
        <is>
          <t>Mar 2026</t>
        </is>
      </c>
      <c r="E11" s="18" t="inlineStr">
        <is>
          <t>Marsh Fine Art &amp; Specie</t>
        </is>
      </c>
    </row>
    <row r="12">
      <c r="A12" s="3" t="inlineStr">
        <is>
          <t>Brickken Advanced Tier</t>
        </is>
      </c>
      <c r="B12" s="3" t="inlineStr">
        <is>
          <t>EUR 5,000/yr</t>
        </is>
      </c>
      <c r="C12" s="3" t="inlineStr">
        <is>
          <t>Annual subscription</t>
        </is>
      </c>
      <c r="D12" s="3" t="inlineStr">
        <is>
          <t>Mar 2026</t>
        </is>
      </c>
      <c r="E12" s="18" t="inlineStr">
        <is>
          <t>brickken.com/plans</t>
        </is>
      </c>
    </row>
    <row r="13">
      <c r="A13" s="3" t="inlineStr">
        <is>
          <t>Brickken Enterprise Tier</t>
        </is>
      </c>
      <c r="B13" s="3" t="inlineStr">
        <is>
          <t>EUR 22,000/yr</t>
        </is>
      </c>
      <c r="C13" s="3" t="inlineStr">
        <is>
          <t>Annual subscription</t>
        </is>
      </c>
      <c r="D13" s="3" t="inlineStr">
        <is>
          <t>Mar 2026</t>
        </is>
      </c>
      <c r="E13" s="18" t="inlineStr">
        <is>
          <t>brickken.com/plans</t>
        </is>
      </c>
    </row>
    <row r="14">
      <c r="A14" s="3" t="inlineStr">
        <is>
          <t>Chainlink BUILD Program</t>
        </is>
      </c>
      <c r="B14" s="3" t="inlineStr">
        <is>
          <t>$0 cash</t>
        </is>
      </c>
      <c r="C14" s="3" t="inlineStr">
        <is>
          <t>Token supply commitment (3-7%)</t>
        </is>
      </c>
      <c r="D14" s="3" t="inlineStr">
        <is>
          <t>Mar 2026</t>
        </is>
      </c>
      <c r="E14" s="18" t="inlineStr">
        <is>
          <t>chain.link/build-program</t>
        </is>
      </c>
    </row>
    <row r="15">
      <c r="A15" s="3" t="inlineStr">
        <is>
          <t>Chainlink LINK Feed Costs</t>
        </is>
      </c>
      <c r="B15" s="3" t="inlineStr">
        <is>
          <t>$100-200/mo</t>
        </is>
      </c>
      <c r="C15" s="3" t="inlineStr">
        <is>
          <t>Monthly oracle fees</t>
        </is>
      </c>
      <c r="D15" s="3" t="inlineStr">
        <is>
          <t>Mar 2026</t>
        </is>
      </c>
      <c r="E15" s="18" t="inlineStr">
        <is>
          <t>docs.chain.link/data-feeds</t>
        </is>
      </c>
    </row>
    <row r="16">
      <c r="A16" s="3" t="inlineStr">
        <is>
          <t>Smart Contract Audit (full custom)</t>
        </is>
      </c>
      <c r="B16" s="3" t="inlineStr">
        <is>
          <t>$25K-$100K+</t>
        </is>
      </c>
      <c r="C16" s="3" t="inlineStr">
        <is>
          <t>Per audit</t>
        </is>
      </c>
      <c r="D16" s="3" t="inlineStr">
        <is>
          <t>Mar 2026</t>
        </is>
      </c>
      <c r="E16" s="18" t="inlineStr">
        <is>
          <t>sherlock.xyz/audit-pricing-2026</t>
        </is>
      </c>
    </row>
    <row r="17">
      <c r="A17" s="3" t="inlineStr">
        <is>
          <t>Config Review (Brickken pre-audited)</t>
        </is>
      </c>
      <c r="B17" s="3" t="inlineStr">
        <is>
          <t>$2.5K-$5K</t>
        </is>
      </c>
      <c r="C17" s="3" t="inlineStr">
        <is>
          <t>Per review</t>
        </is>
      </c>
      <c r="D17" s="3" t="inlineStr">
        <is>
          <t>Mar 2026</t>
        </is>
      </c>
      <c r="E17" s="18" t="inlineStr">
        <is>
          <t>softstack.io/audit-cost-2025</t>
        </is>
      </c>
    </row>
    <row r="18">
      <c r="A18" s="3" t="inlineStr">
        <is>
          <t>Securities Attorney (boutique PPM)</t>
        </is>
      </c>
      <c r="B18" s="3" t="inlineStr">
        <is>
          <t>$7.5K-$12K</t>
        </is>
      </c>
      <c r="C18" s="3" t="inlineStr">
        <is>
          <t>Flat fee per offering</t>
        </is>
      </c>
      <c r="D18" s="3" t="inlineStr">
        <is>
          <t>Mar 2026</t>
        </is>
      </c>
      <c r="E18" s="18" t="inlineStr">
        <is>
          <t>contractscounsel.com/ppm-cost</t>
        </is>
      </c>
    </row>
    <row r="19">
      <c r="A19" s="3" t="inlineStr">
        <is>
          <t>Securities Attorney (BigLaw PPM)</t>
        </is>
      </c>
      <c r="B19" s="3" t="inlineStr">
        <is>
          <t>$35K-$75K</t>
        </is>
      </c>
      <c r="C19" s="3" t="inlineStr">
        <is>
          <t>Flat fee per offering</t>
        </is>
      </c>
      <c r="D19" s="3" t="inlineStr">
        <is>
          <t>Mar 2026</t>
        </is>
      </c>
      <c r="E19" s="18" t="inlineStr">
        <is>
          <t>ascentlawfirm.com/ppm-cost</t>
        </is>
      </c>
    </row>
    <row r="20">
      <c r="A20" s="3" t="inlineStr">
        <is>
          <t>Wyoming Series LLC Formation</t>
        </is>
      </c>
      <c r="B20" s="3" t="inlineStr">
        <is>
          <t>$100</t>
        </is>
      </c>
      <c r="C20" s="3" t="inlineStr">
        <is>
          <t>One-time</t>
        </is>
      </c>
      <c r="D20" s="3" t="inlineStr">
        <is>
          <t>Mar 2026</t>
        </is>
      </c>
      <c r="E20" s="18" t="inlineStr">
        <is>
          <t>sos.wyo.gov/Business/docs/BusinessFees.pdf</t>
        </is>
      </c>
    </row>
    <row r="21">
      <c r="A21" s="3" t="inlineStr">
        <is>
          <t>Wyoming Registered Agent</t>
        </is>
      </c>
      <c r="B21" s="3" t="inlineStr">
        <is>
          <t>$25-$125/yr</t>
        </is>
      </c>
      <c r="C21" s="3" t="inlineStr">
        <is>
          <t>Annual</t>
        </is>
      </c>
      <c r="D21" s="3" t="inlineStr">
        <is>
          <t>Mar 2026</t>
        </is>
      </c>
      <c r="E21" s="18" t="inlineStr">
        <is>
          <t>wyomingagents.com</t>
        </is>
      </c>
    </row>
    <row r="22">
      <c r="A22" s="3" t="inlineStr">
        <is>
          <t>Form D Filing (SEC)</t>
        </is>
      </c>
      <c r="B22" s="3" t="inlineStr">
        <is>
          <t>$0</t>
        </is>
      </c>
      <c r="C22" s="3" t="inlineStr">
        <is>
          <t>No fee</t>
        </is>
      </c>
      <c r="D22" s="3" t="inlineStr">
        <is>
          <t>Mar 2026</t>
        </is>
      </c>
      <c r="E22" s="18" t="inlineStr">
        <is>
          <t>sec.gov/form-d</t>
        </is>
      </c>
    </row>
    <row r="23">
      <c r="A23" s="3" t="inlineStr">
        <is>
          <t>Blue Sky Filing (per state avg)</t>
        </is>
      </c>
      <c r="B23" s="3" t="inlineStr">
        <is>
          <t>$100-$500</t>
        </is>
      </c>
      <c r="C23" s="3" t="inlineStr">
        <is>
          <t>Per state notice</t>
        </is>
      </c>
      <c r="D23" s="3" t="inlineStr">
        <is>
          <t>Mar 2026</t>
        </is>
      </c>
      <c r="E23" s="18" t="inlineStr">
        <is>
          <t>blueskycomply.com/fees</t>
        </is>
      </c>
    </row>
    <row r="24">
      <c r="A24" s="3" t="inlineStr">
        <is>
          <t>KYC (Veriff Essential)</t>
        </is>
      </c>
      <c r="B24" s="3" t="inlineStr">
        <is>
          <t>$0.80/check</t>
        </is>
      </c>
      <c r="C24" s="3" t="inlineStr">
        <is>
          <t>Per verification</t>
        </is>
      </c>
      <c r="D24" s="3" t="inlineStr">
        <is>
          <t>Mar 2026</t>
        </is>
      </c>
      <c r="E24" s="18" t="inlineStr">
        <is>
          <t>veriff.com/plans/self-serve</t>
        </is>
      </c>
    </row>
    <row r="25">
      <c r="A25" s="3" t="inlineStr">
        <is>
          <t>KYC (Sumsub Basic)</t>
        </is>
      </c>
      <c r="B25" s="3" t="inlineStr">
        <is>
          <t>$1.35/check</t>
        </is>
      </c>
      <c r="C25" s="3" t="inlineStr">
        <is>
          <t>Per verification</t>
        </is>
      </c>
      <c r="D25" s="3" t="inlineStr">
        <is>
          <t>Mar 2026</t>
        </is>
      </c>
      <c r="E25" s="18" t="inlineStr">
        <is>
          <t>sumsub.com/pricing</t>
        </is>
      </c>
    </row>
    <row r="26">
      <c r="A26" s="3" t="inlineStr">
        <is>
          <t>KYC (Didit - free tier)</t>
        </is>
      </c>
      <c r="B26" s="3" t="inlineStr">
        <is>
          <t>$0</t>
        </is>
      </c>
      <c r="C26" s="3" t="inlineStr">
        <is>
          <t>500 free/month</t>
        </is>
      </c>
      <c r="D26" s="3" t="inlineStr">
        <is>
          <t>Mar 2026</t>
        </is>
      </c>
      <c r="E26" s="18" t="inlineStr">
        <is>
          <t>didit.me</t>
        </is>
      </c>
    </row>
    <row r="27">
      <c r="A27" s="3" t="inlineStr">
        <is>
          <t>Accredited Investor Verification</t>
        </is>
      </c>
      <c r="B27" s="3" t="inlineStr">
        <is>
          <t>$50-$150/investor</t>
        </is>
      </c>
      <c r="C27" s="3" t="inlineStr">
        <is>
          <t>Per investor</t>
        </is>
      </c>
      <c r="D27" s="3" t="inlineStr">
        <is>
          <t>Mar 2026</t>
        </is>
      </c>
      <c r="E27" s="18" t="inlineStr">
        <is>
          <t>verifyinvestor.com</t>
        </is>
      </c>
    </row>
    <row r="28">
      <c r="A28" s="3" t="inlineStr">
        <is>
          <t>Self-Cert ($200K+ investments)</t>
        </is>
      </c>
      <c r="B28" s="3" t="inlineStr">
        <is>
          <t>$0</t>
        </is>
      </c>
      <c r="C28" s="3" t="inlineStr">
        <is>
          <t>SEC March 2025 guidance</t>
        </is>
      </c>
      <c r="D28" s="3" t="inlineStr">
        <is>
          <t>Mar 2026</t>
        </is>
      </c>
      <c r="E28" s="18" t="inlineStr">
        <is>
          <t>SEC Rule 506(c) update</t>
        </is>
      </c>
    </row>
    <row r="29">
      <c r="A29" s="3" t="inlineStr">
        <is>
          <t>BD Placement (full service)</t>
        </is>
      </c>
      <c r="B29" s="3" t="inlineStr">
        <is>
          <t>5-7%</t>
        </is>
      </c>
      <c r="C29" s="3" t="inlineStr">
        <is>
          <t>Of capital raised</t>
        </is>
      </c>
      <c r="D29" s="3" t="inlineStr">
        <is>
          <t>Mar 2026</t>
        </is>
      </c>
      <c r="E29" s="18" t="inlineStr">
        <is>
          <t>FINRA private placement guidelines</t>
        </is>
      </c>
    </row>
    <row r="30">
      <c r="A30" s="3" t="inlineStr">
        <is>
          <t>AML Audit (boutique)</t>
        </is>
      </c>
      <c r="B30" s="3" t="inlineStr">
        <is>
          <t>$3K-$5K</t>
        </is>
      </c>
      <c r="C30" s="3" t="inlineStr">
        <is>
          <t>Annual</t>
        </is>
      </c>
      <c r="D30" s="3" t="inlineStr">
        <is>
          <t>Mar 2026</t>
        </is>
      </c>
      <c r="E30" s="18" t="inlineStr">
        <is>
          <t>BSA/AML compliance benchmarks</t>
        </is>
      </c>
    </row>
    <row r="31">
      <c r="A31" s="3" t="inlineStr">
        <is>
          <t>AML Audit (mid-tier firm)</t>
        </is>
      </c>
      <c r="B31" s="3" t="inlineStr">
        <is>
          <t>$10K-$25K</t>
        </is>
      </c>
      <c r="C31" s="3" t="inlineStr">
        <is>
          <t>Annual</t>
        </is>
      </c>
      <c r="D31" s="3" t="inlineStr">
        <is>
          <t>Mar 2026</t>
        </is>
      </c>
      <c r="E31" s="18" t="inlineStr">
        <is>
          <t>Industry benchmark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5B2D8E"/>
    <outlinePr summaryBelow="1" summaryRight="1"/>
    <pageSetUpPr/>
  </sheetPr>
  <dimension ref="A1:G26"/>
  <sheetViews>
    <sheetView workbookViewId="0">
      <selection activeCell="A2" sqref="A1:A1048576"/>
    </sheetView>
  </sheetViews>
  <sheetFormatPr baseColWidth="8" defaultRowHeight="15"/>
  <cols>
    <col width="42.140625" customWidth="1" style="36" min="1" max="1"/>
    <col width="12" customWidth="1" style="36" min="2" max="3"/>
    <col width="20.42578125" customWidth="1" style="36" min="4" max="4"/>
    <col width="18.85546875" customWidth="1" style="36" min="5" max="5"/>
    <col width="20.28515625" customWidth="1" style="36" min="6" max="6"/>
    <col width="24.7109375" customWidth="1" style="36" min="7" max="7"/>
  </cols>
  <sheetData>
    <row r="1" ht="18.75" customHeight="1" s="36">
      <c r="A1" s="35" t="inlineStr">
        <is>
          <t>120-Day Payment Timeline — When Every Cost Hits</t>
        </is>
      </c>
    </row>
    <row r="3">
      <c r="A3" s="1" t="inlineStr">
        <is>
          <t>Event</t>
        </is>
      </c>
      <c r="B3" s="1" t="inlineStr">
        <is>
          <t>Day Start</t>
        </is>
      </c>
      <c r="C3" s="1" t="inlineStr">
        <is>
          <t>Day End</t>
        </is>
      </c>
      <c r="D3" s="1" t="inlineStr">
        <is>
          <t>Cost Out</t>
        </is>
      </c>
      <c r="E3" s="1" t="inlineStr">
        <is>
          <t>Revenue In</t>
        </is>
      </c>
      <c r="F3" s="1" t="inlineStr">
        <is>
          <t>Running PC Balance</t>
        </is>
      </c>
      <c r="G3" s="1" t="inlineStr">
        <is>
          <t>Phase</t>
        </is>
      </c>
    </row>
    <row r="4">
      <c r="A4" s="19" t="inlineStr">
        <is>
          <t>Engagement signed → Setup fee collected</t>
        </is>
      </c>
      <c r="B4" s="19" t="n">
        <v>1</v>
      </c>
      <c r="C4" s="19" t="n">
        <v>1</v>
      </c>
      <c r="D4" s="43" t="n">
        <v>0</v>
      </c>
      <c r="E4" s="43">
        <f>Assumptions!B20</f>
        <v/>
      </c>
      <c r="F4" s="44">
        <f>E4-D4</f>
        <v/>
      </c>
      <c r="G4" s="19" t="inlineStr">
        <is>
          <t>Acquisition</t>
        </is>
      </c>
    </row>
    <row r="5">
      <c r="A5" s="19" t="inlineStr">
        <is>
          <t>KYC/KYB + Sanctions screening</t>
        </is>
      </c>
      <c r="B5" s="19" t="n">
        <v>1</v>
      </c>
      <c r="C5" s="19" t="n">
        <v>3</v>
      </c>
      <c r="D5" s="43" t="n">
        <v>150</v>
      </c>
      <c r="E5" s="43" t="n">
        <v>0</v>
      </c>
      <c r="F5" s="44">
        <f>F4+E5-D5</f>
        <v/>
      </c>
      <c r="G5" s="19" t="inlineStr">
        <is>
          <t>Acquisition</t>
        </is>
      </c>
    </row>
    <row r="6">
      <c r="A6" s="19" t="inlineStr">
        <is>
          <t>Provenance research (asset holder cost)</t>
        </is>
      </c>
      <c r="B6" s="19" t="n">
        <v>3</v>
      </c>
      <c r="C6" s="19" t="n">
        <v>10</v>
      </c>
      <c r="D6" s="43" t="n">
        <v>0</v>
      </c>
      <c r="E6" s="43" t="n">
        <v>0</v>
      </c>
      <c r="F6" s="44">
        <f>F5+E6-D6</f>
        <v/>
      </c>
      <c r="G6" s="19" t="inlineStr">
        <is>
          <t>Acquisition</t>
        </is>
      </c>
    </row>
    <row r="7">
      <c r="A7" s="19" t="inlineStr">
        <is>
          <t>Intake agreement (legal)</t>
        </is>
      </c>
      <c r="B7" s="19" t="n">
        <v>5</v>
      </c>
      <c r="C7" s="19" t="n">
        <v>14</v>
      </c>
      <c r="D7" s="43" t="n">
        <v>2500</v>
      </c>
      <c r="E7" s="43" t="n">
        <v>0</v>
      </c>
      <c r="F7" s="44">
        <f>F6+E7-D7</f>
        <v/>
      </c>
      <c r="G7" s="19" t="inlineStr">
        <is>
          <t>Acquisition</t>
        </is>
      </c>
    </row>
    <row r="8">
      <c r="A8" s="20" t="inlineStr">
        <is>
          <t>Stone shipped to GIA/SSEF</t>
        </is>
      </c>
      <c r="B8" s="20" t="n">
        <v>14</v>
      </c>
      <c r="C8" s="20" t="n">
        <v>14</v>
      </c>
      <c r="D8" s="45" t="n">
        <v>0</v>
      </c>
      <c r="E8" s="45" t="n">
        <v>0</v>
      </c>
      <c r="F8" s="46">
        <f>F7+E8-D8</f>
        <v/>
      </c>
      <c r="G8" s="20" t="inlineStr">
        <is>
          <t>Preparation</t>
        </is>
      </c>
    </row>
    <row r="9">
      <c r="A9" s="20" t="inlineStr">
        <is>
          <t>Lab reports received + verified</t>
        </is>
      </c>
      <c r="B9" s="20" t="n">
        <v>28</v>
      </c>
      <c r="C9" s="20" t="n">
        <v>35</v>
      </c>
      <c r="D9" s="45" t="n">
        <v>0</v>
      </c>
      <c r="E9" s="45" t="n">
        <v>0</v>
      </c>
      <c r="F9" s="46">
        <f>F8+E9-D9</f>
        <v/>
      </c>
      <c r="G9" s="20" t="inlineStr">
        <is>
          <t>Preparation</t>
        </is>
      </c>
    </row>
    <row r="10">
      <c r="A10" s="20" t="inlineStr">
        <is>
          <t>Appraiser 1 inspection + report</t>
        </is>
      </c>
      <c r="B10" s="20" t="n">
        <v>28</v>
      </c>
      <c r="C10" s="20" t="n">
        <v>38</v>
      </c>
      <c r="D10" s="45" t="n">
        <v>0</v>
      </c>
      <c r="E10" s="45" t="n">
        <v>0</v>
      </c>
      <c r="F10" s="46">
        <f>F9+E10-D10</f>
        <v/>
      </c>
      <c r="G10" s="20" t="inlineStr">
        <is>
          <t>Preparation</t>
        </is>
      </c>
    </row>
    <row r="11">
      <c r="A11" s="20" t="inlineStr">
        <is>
          <t>Appraiser 2 inspection + report</t>
        </is>
      </c>
      <c r="B11" s="20" t="n">
        <v>38</v>
      </c>
      <c r="C11" s="20" t="n">
        <v>48</v>
      </c>
      <c r="D11" s="45" t="n">
        <v>0</v>
      </c>
      <c r="E11" s="45" t="n">
        <v>0</v>
      </c>
      <c r="F11" s="46">
        <f>F10+E11-D11</f>
        <v/>
      </c>
      <c r="G11" s="20" t="inlineStr">
        <is>
          <t>Preparation</t>
        </is>
      </c>
    </row>
    <row r="12">
      <c r="A12" s="20" t="inlineStr">
        <is>
          <t>Appraiser 3 inspection + report</t>
        </is>
      </c>
      <c r="B12" s="20" t="n">
        <v>48</v>
      </c>
      <c r="C12" s="20" t="n">
        <v>56</v>
      </c>
      <c r="D12" s="45" t="n">
        <v>0</v>
      </c>
      <c r="E12" s="45" t="n">
        <v>0</v>
      </c>
      <c r="F12" s="46">
        <f>F11+E12-D12</f>
        <v/>
      </c>
      <c r="G12" s="20" t="inlineStr">
        <is>
          <t>Preparation</t>
        </is>
      </c>
    </row>
    <row r="13">
      <c r="A13" s="20" t="inlineStr">
        <is>
          <t>SPV formation filed</t>
        </is>
      </c>
      <c r="B13" s="20" t="n">
        <v>30</v>
      </c>
      <c r="C13" s="20" t="n">
        <v>45</v>
      </c>
      <c r="D13" s="45" t="n">
        <v>750</v>
      </c>
      <c r="E13" s="45" t="n">
        <v>0</v>
      </c>
      <c r="F13" s="46">
        <f>F12+E13-D13</f>
        <v/>
      </c>
      <c r="G13" s="20" t="inlineStr">
        <is>
          <t>Preparation</t>
        </is>
      </c>
    </row>
    <row r="14">
      <c r="A14" s="20" t="inlineStr">
        <is>
          <t>PPM drafting begins</t>
        </is>
      </c>
      <c r="B14" s="20" t="n">
        <v>35</v>
      </c>
      <c r="C14" s="20" t="n">
        <v>70</v>
      </c>
      <c r="D14" s="45" t="n">
        <v>10000</v>
      </c>
      <c r="E14" s="45" t="n">
        <v>0</v>
      </c>
      <c r="F14" s="46">
        <f>F13+E14-D14</f>
        <v/>
      </c>
      <c r="G14" s="20" t="inlineStr">
        <is>
          <t>Preparation</t>
        </is>
      </c>
    </row>
    <row r="15">
      <c r="A15" s="20" t="inlineStr">
        <is>
          <t>Subscription + Token agreements</t>
        </is>
      </c>
      <c r="B15" s="20" t="n">
        <v>50</v>
      </c>
      <c r="C15" s="20" t="n">
        <v>70</v>
      </c>
      <c r="D15" s="45" t="n">
        <v>4500</v>
      </c>
      <c r="E15" s="45" t="n">
        <v>0</v>
      </c>
      <c r="F15" s="46">
        <f>F14+E15-D15</f>
        <v/>
      </c>
      <c r="G15" s="20" t="inlineStr">
        <is>
          <t>Preparation</t>
        </is>
      </c>
    </row>
    <row r="16">
      <c r="A16" s="20" t="inlineStr">
        <is>
          <t>Chainlink PoR integration</t>
        </is>
      </c>
      <c r="B16" s="20" t="n">
        <v>42</v>
      </c>
      <c r="C16" s="20" t="n">
        <v>70</v>
      </c>
      <c r="D16" s="45" t="n">
        <v>2500</v>
      </c>
      <c r="E16" s="45" t="n">
        <v>0</v>
      </c>
      <c r="F16" s="46">
        <f>F15+E16-D16</f>
        <v/>
      </c>
      <c r="G16" s="20" t="inlineStr">
        <is>
          <t>Preparation</t>
        </is>
      </c>
    </row>
    <row r="17">
      <c r="A17" s="20" t="inlineStr">
        <is>
          <t>Stone shipped to vault + custody begins</t>
        </is>
      </c>
      <c r="B17" s="20" t="n">
        <v>56</v>
      </c>
      <c r="C17" s="20" t="n">
        <v>60</v>
      </c>
      <c r="D17" s="45" t="n">
        <v>0</v>
      </c>
      <c r="E17" s="45" t="n">
        <v>0</v>
      </c>
      <c r="F17" s="46">
        <f>F16+E17-D17</f>
        <v/>
      </c>
      <c r="G17" s="20" t="inlineStr">
        <is>
          <t>Preparation</t>
        </is>
      </c>
    </row>
    <row r="18">
      <c r="A18" s="14" t="inlineStr">
        <is>
          <t>Brickken platform setup</t>
        </is>
      </c>
      <c r="B18" s="14" t="n">
        <v>63</v>
      </c>
      <c r="C18" s="14" t="n">
        <v>63</v>
      </c>
      <c r="D18" s="47" t="n">
        <v>5500</v>
      </c>
      <c r="E18" s="47" t="n">
        <v>0</v>
      </c>
      <c r="F18" s="48">
        <f>F17+E18-D18</f>
        <v/>
      </c>
      <c r="G18" s="14" t="inlineStr">
        <is>
          <t>Tokenization</t>
        </is>
      </c>
    </row>
    <row r="19">
      <c r="A19" s="14" t="inlineStr">
        <is>
          <t>Configuration review</t>
        </is>
      </c>
      <c r="B19" s="14" t="n">
        <v>63</v>
      </c>
      <c r="C19" s="14" t="n">
        <v>75</v>
      </c>
      <c r="D19" s="47" t="n">
        <v>3500</v>
      </c>
      <c r="E19" s="47" t="n">
        <v>0</v>
      </c>
      <c r="F19" s="48">
        <f>F18+E19-D19</f>
        <v/>
      </c>
      <c r="G19" s="14" t="inlineStr">
        <is>
          <t>Tokenization</t>
        </is>
      </c>
    </row>
    <row r="20">
      <c r="A20" s="14" t="inlineStr">
        <is>
          <t>Testnet deployment + testing</t>
        </is>
      </c>
      <c r="B20" s="14" t="n">
        <v>65</v>
      </c>
      <c r="C20" s="14" t="n">
        <v>80</v>
      </c>
      <c r="D20" s="47" t="n">
        <v>5000</v>
      </c>
      <c r="E20" s="47" t="n">
        <v>0</v>
      </c>
      <c r="F20" s="48">
        <f>F19+E20-D20</f>
        <v/>
      </c>
      <c r="G20" s="14" t="inlineStr">
        <is>
          <t>Tokenization</t>
        </is>
      </c>
    </row>
    <row r="21">
      <c r="A21" s="14" t="inlineStr">
        <is>
          <t>Mainnet deployment + gas</t>
        </is>
      </c>
      <c r="B21" s="14" t="n">
        <v>80</v>
      </c>
      <c r="C21" s="14" t="n">
        <v>80</v>
      </c>
      <c r="D21" s="47" t="n">
        <v>100</v>
      </c>
      <c r="E21" s="47" t="n">
        <v>0</v>
      </c>
      <c r="F21" s="48">
        <f>F20+E21-D21</f>
        <v/>
      </c>
      <c r="G21" s="14" t="inlineStr">
        <is>
          <t>Tokenization</t>
        </is>
      </c>
    </row>
    <row r="22">
      <c r="A22" s="14" t="inlineStr">
        <is>
          <t>Blue sky filings</t>
        </is>
      </c>
      <c r="B22" s="14" t="n">
        <v>80</v>
      </c>
      <c r="C22" s="14" t="n">
        <v>84</v>
      </c>
      <c r="D22" s="47" t="n">
        <v>1500</v>
      </c>
      <c r="E22" s="47" t="n">
        <v>0</v>
      </c>
      <c r="F22" s="48">
        <f>F21+E22-D22</f>
        <v/>
      </c>
      <c r="G22" s="14" t="inlineStr">
        <is>
          <t>Tokenization</t>
        </is>
      </c>
    </row>
    <row r="23">
      <c r="A23" s="21" t="inlineStr">
        <is>
          <t>Marketing + investor outreach begins</t>
        </is>
      </c>
      <c r="B23" s="21" t="n">
        <v>84</v>
      </c>
      <c r="C23" s="21" t="n">
        <v>120</v>
      </c>
      <c r="D23" s="49" t="n">
        <v>3000</v>
      </c>
      <c r="E23" s="49" t="n">
        <v>0</v>
      </c>
      <c r="F23" s="50">
        <f>F22+E23-D23</f>
        <v/>
      </c>
      <c r="G23" s="21" t="inlineStr">
        <is>
          <t>Distribution</t>
        </is>
      </c>
    </row>
    <row r="24">
      <c r="A24" s="21" t="inlineStr">
        <is>
          <t>First investor KYC + subscription</t>
        </is>
      </c>
      <c r="B24" s="21" t="n">
        <v>90</v>
      </c>
      <c r="C24" s="21" t="n">
        <v>90</v>
      </c>
      <c r="D24" s="49" t="n">
        <v>0</v>
      </c>
      <c r="E24" s="49" t="n">
        <v>0</v>
      </c>
      <c r="F24" s="50">
        <f>F23+E24-D24</f>
        <v/>
      </c>
      <c r="G24" s="21" t="inlineStr">
        <is>
          <t>Distribution</t>
        </is>
      </c>
    </row>
    <row r="25">
      <c r="A25" s="21" t="inlineStr">
        <is>
          <t>Token sale closes → Success fee</t>
        </is>
      </c>
      <c r="B25" s="21" t="n">
        <v>120</v>
      </c>
      <c r="C25" s="21" t="n">
        <v>120</v>
      </c>
      <c r="D25" s="49" t="n">
        <v>0</v>
      </c>
      <c r="E25" s="49">
        <f>Assumptions!B21</f>
        <v/>
      </c>
      <c r="F25" s="50">
        <f>F24+E25-D25</f>
        <v/>
      </c>
      <c r="G25" s="21" t="inlineStr">
        <is>
          <t>Distribution</t>
        </is>
      </c>
    </row>
    <row r="26">
      <c r="A26" s="21" t="inlineStr">
        <is>
          <t>Compliance monitoring begins</t>
        </is>
      </c>
      <c r="B26" s="21" t="n">
        <v>120</v>
      </c>
      <c r="C26" s="21" t="n">
        <v>120</v>
      </c>
      <c r="D26" s="49" t="n">
        <v>500</v>
      </c>
      <c r="E26" s="49" t="n">
        <v>0</v>
      </c>
      <c r="F26" s="50">
        <f>F25+E26-D26</f>
        <v/>
      </c>
      <c r="G26" s="21" t="inlineStr">
        <is>
          <t>Distribution</t>
        </is>
      </c>
    </row>
  </sheetData>
  <mergeCells count="1">
    <mergeCell ref="A1:G1"/>
  </mergeCells>
  <conditionalFormatting sqref="F4:F26">
    <cfRule type="cellIs" priority="1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2026-03-16T10:50:56Z</dcterms:created>
  <dcterms:modified xsi:type="dcterms:W3CDTF">2026-03-16T11:08:08Z</dcterms:modified>
  <cp:lastModifiedBy>Shane Pierson</cp:lastModifiedBy>
</cp:coreProperties>
</file>