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ne\.claude\Conversations\PleoChrome\"/>
    </mc:Choice>
  </mc:AlternateContent>
  <xr:revisionPtr revIDLastSave="0" documentId="13_ncr:1_{B5DB7D35-6B40-4BFC-8E89-2A07C82084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ssumptions" sheetId="1" r:id="rId1"/>
    <sheet name="Deal Model" sheetId="2" r:id="rId2"/>
    <sheet name="PleoChrome P&amp;L" sheetId="3" r:id="rId3"/>
    <sheet name="Pricing Sources" sheetId="4" r:id="rId4"/>
    <sheet name="Payment Timeli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B26" i="3"/>
  <c r="D9" i="2"/>
  <c r="E4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B23" i="3"/>
  <c r="B20" i="3"/>
  <c r="F14" i="3"/>
  <c r="E14" i="3"/>
  <c r="D14" i="3"/>
  <c r="C14" i="3"/>
  <c r="G13" i="3"/>
  <c r="G8" i="3"/>
  <c r="G6" i="3"/>
  <c r="B4" i="3"/>
  <c r="D42" i="2"/>
  <c r="D41" i="2"/>
  <c r="D40" i="2"/>
  <c r="D39" i="2"/>
  <c r="D38" i="2"/>
  <c r="D37" i="2"/>
  <c r="D35" i="2"/>
  <c r="D34" i="2"/>
  <c r="D33" i="2"/>
  <c r="D32" i="2"/>
  <c r="D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46" i="2" s="1"/>
  <c r="D10" i="2"/>
  <c r="D45" i="2"/>
  <c r="D23" i="1"/>
  <c r="D22" i="1"/>
  <c r="D21" i="1"/>
  <c r="B20" i="1"/>
  <c r="E25" i="5" s="1"/>
  <c r="D13" i="1"/>
  <c r="D11" i="1"/>
  <c r="B11" i="1"/>
  <c r="B13" i="1" s="1"/>
  <c r="B25" i="3" l="1"/>
  <c r="D5" i="2"/>
  <c r="C5" i="2"/>
  <c r="B12" i="3"/>
  <c r="F25" i="5"/>
  <c r="F26" i="5" s="1"/>
  <c r="G4" i="3"/>
  <c r="B21" i="1"/>
  <c r="B5" i="3"/>
  <c r="G5" i="3" s="1"/>
  <c r="B22" i="1"/>
  <c r="B21" i="3"/>
  <c r="B23" i="1"/>
  <c r="B24" i="3"/>
  <c r="B5" i="2"/>
  <c r="B14" i="3" l="1"/>
  <c r="G12" i="3"/>
  <c r="G14" i="3" s="1"/>
  <c r="D47" i="2"/>
  <c r="B22" i="3"/>
  <c r="B27" i="3" s="1"/>
  <c r="F7" i="3"/>
  <c r="F9" i="3" s="1"/>
  <c r="E7" i="3"/>
  <c r="E9" i="3" s="1"/>
  <c r="D7" i="3"/>
  <c r="D9" i="3" s="1"/>
  <c r="C7" i="3"/>
  <c r="B9" i="3"/>
  <c r="E15" i="3" l="1"/>
  <c r="E16" i="3" s="1"/>
  <c r="F15" i="3"/>
  <c r="F16" i="3" s="1"/>
  <c r="B15" i="3"/>
  <c r="B16" i="3" s="1"/>
  <c r="C9" i="3"/>
  <c r="G7" i="3"/>
  <c r="G9" i="3" s="1"/>
  <c r="D15" i="3"/>
  <c r="D16" i="3" s="1"/>
  <c r="E5" i="2"/>
  <c r="F5" i="2"/>
  <c r="D48" i="2"/>
  <c r="C16" i="3" l="1"/>
  <c r="C15" i="3"/>
  <c r="G15" i="3"/>
  <c r="G16" i="3" s="1"/>
</calcChain>
</file>

<file path=xl/sharedStrings.xml><?xml version="1.0" encoding="utf-8"?>
<sst xmlns="http://schemas.openxmlformats.org/spreadsheetml/2006/main" count="395" uniqueCount="295">
  <si>
    <t>PleoChrome — Deal Assumptions</t>
  </si>
  <si>
    <t>Yellow cells are editable inputs. Blue cells are calculated. All costs in USD.</t>
  </si>
  <si>
    <t>Parameter</t>
  </si>
  <si>
    <t>Value</t>
  </si>
  <si>
    <t>Unit</t>
  </si>
  <si>
    <t>Source / Justification</t>
  </si>
  <si>
    <t>ASSET DETAILS</t>
  </si>
  <si>
    <t>Stone Type</t>
  </si>
  <si>
    <t>Burmese Ruby</t>
  </si>
  <si>
    <t>Pigeon's blood, Mogok origin</t>
  </si>
  <si>
    <t>Carat Weight</t>
  </si>
  <si>
    <t>ct</t>
  </si>
  <si>
    <t>Comparable: Estrela de Fura (55.22ct, $34.8M)</t>
  </si>
  <si>
    <t>Treatment</t>
  </si>
  <si>
    <t>No Heat</t>
  </si>
  <si>
    <t>Unheated commands 2-5x premium</t>
  </si>
  <si>
    <t>Claimed Asset Value</t>
  </si>
  <si>
    <t>$</t>
  </si>
  <si>
    <t>Enter the stone owner's claimed value</t>
  </si>
  <si>
    <t>Appraisal Discount (%)</t>
  </si>
  <si>
    <t>%</t>
  </si>
  <si>
    <t>3-Appraisal Rule: avg of 2 lowest typically 10-15% below claimed</t>
  </si>
  <si>
    <t>Offering Value</t>
  </si>
  <si>
    <t>Token Price (Min Investment)</t>
  </si>
  <si>
    <t>Reg D 506(c) accredited; $200K+ allows self-certification</t>
  </si>
  <si>
    <t>Total Tokens</t>
  </si>
  <si>
    <t>#</t>
  </si>
  <si>
    <t>PLEOCHROME FEE STRUCTURE</t>
  </si>
  <si>
    <t>Setup Fee Rate</t>
  </si>
  <si>
    <t>Industry standard 1-3%. Collected at engagement.</t>
  </si>
  <si>
    <t>Success Fee Rate</t>
  </si>
  <si>
    <t>0.5-3%. Collected at token sale close. $0 if offering fails.</t>
  </si>
  <si>
    <t>Annual Admin Fee Rate</t>
  </si>
  <si>
    <t>0.5-1.0%. Recurring revenue starting Year 2.</t>
  </si>
  <si>
    <t>BD Placement Rate</t>
  </si>
  <si>
    <t>5-7% for broker-dealer distribution. 0% if direct placement.</t>
  </si>
  <si>
    <t>Setup Fee ($)</t>
  </si>
  <si>
    <t>Success Fee ($)</t>
  </si>
  <si>
    <t>Annual Admin Fee ($)</t>
  </si>
  <si>
    <t>BD Placement Fee ($)</t>
  </si>
  <si>
    <t>Stone-Level Deal Model — Phase-by-Phase Costs</t>
  </si>
  <si>
    <t>Yellow = editable override. Blue = auto-calculated from Assumptions tab.</t>
  </si>
  <si>
    <t>PleoChrome Costs</t>
  </si>
  <si>
    <t>Asset Holder Costs</t>
  </si>
  <si>
    <t>BD Fee</t>
  </si>
  <si>
    <t>Net to Holder</t>
  </si>
  <si>
    <t>TOTALS</t>
  </si>
  <si>
    <t>Line Item</t>
  </si>
  <si>
    <t>Default ($)</t>
  </si>
  <si>
    <t>Override ($)</t>
  </si>
  <si>
    <t>Actual ($)</t>
  </si>
  <si>
    <t>Paid By</t>
  </si>
  <si>
    <t>Source / When Due</t>
  </si>
  <si>
    <t>PHASE 1: ACQUISITION (Days 1-14)</t>
  </si>
  <si>
    <t>KYC / KYB on Asset Holder</t>
  </si>
  <si>
    <t>PleoChrome</t>
  </si>
  <si>
    <t>Veriff/Sumsub $0.80/check. Brickken includes 150. | Day 1-3</t>
  </si>
  <si>
    <t>Sanctions &amp; PEP Screening</t>
  </si>
  <si>
    <t>OFAC/EU/UN screening. Bundled with KYC or $10-50/ea. | Day 1-3</t>
  </si>
  <si>
    <t>Provenance Research</t>
  </si>
  <si>
    <t>Asset Holder</t>
  </si>
  <si>
    <t>Legal title search. 10-20hrs at $150-$250/hr. | Day 3-10</t>
  </si>
  <si>
    <t>Intake Agreement (Legal)</t>
  </si>
  <si>
    <t>Boutique attorney. Template after first deal. | Day 5-14</t>
  </si>
  <si>
    <t>PHASE 2: PREPARATION (Days 14-84)</t>
  </si>
  <si>
    <t>GIA Grading Report</t>
  </si>
  <si>
    <t>Most $50M+ stones already certified. $300-500 if needed. | Day 14-35</t>
  </si>
  <si>
    <t>SSEF Origin Report</t>
  </si>
  <si>
    <t>CHF 4,000 if needed. Likely already exists. | Day 14-35</t>
  </si>
  <si>
    <t>Gubelin Report (Optional)</t>
  </si>
  <si>
    <t>CHF 4,000-5,000 if needed for triple-lab cert. | Day 14-35</t>
  </si>
  <si>
    <t>Independent Appraisal #1</t>
  </si>
  <si>
    <t>CGA/MGA, USPAP compliant. $150-250/hr × 20-40hrs. | Day 28-38</t>
  </si>
  <si>
    <t>Independent Appraisal #2</t>
  </si>
  <si>
    <t>Sequential. Independent of Appraiser #1. | Day 38-48</t>
  </si>
  <si>
    <t>Independent Appraisal #3</t>
  </si>
  <si>
    <t>Completes 3-Appraisal Rule. | Day 48-56</t>
  </si>
  <si>
    <t>Transit Insurance</t>
  </si>
  <si>
    <t>2-4 insured transits at $2K-5K each. | Days 28-65</t>
  </si>
  <si>
    <t>Vault Custody (Year 1)</t>
  </si>
  <si>
    <t>Brink's/Malca-Amit. 0.10% of value, negotiated. | Day 56+ ongoing</t>
  </si>
  <si>
    <t>Specie Insurance (Year 1)</t>
  </si>
  <si>
    <t>Lloyd's/AXA XL. 0.10% vault-stored rate. | Day 56+ ongoing</t>
  </si>
  <si>
    <t>Chainlink Oracle Integration</t>
  </si>
  <si>
    <t>BUILD program or minimal LINK gas fees. | Day 42-70</t>
  </si>
  <si>
    <t>Chainlink LINK Fees (Year 1)</t>
  </si>
  <si>
    <t>$100-200/mo for monthly PoR attestation. | Day 70+ ongoing</t>
  </si>
  <si>
    <t>SPV Formation (Series LLC)</t>
  </si>
  <si>
    <t>Wyoming $100 + RA $25/yr + template OA $500. | Day 30-45</t>
  </si>
  <si>
    <t>PPM Drafting</t>
  </si>
  <si>
    <t>Boutique securities attorney. $7.5K-12K flat. | Day 35-70</t>
  </si>
  <si>
    <t>Subscription Agreement</t>
  </si>
  <si>
    <t>Often bundled with PPM. $1.5K-3K standalone. | Day 50-70</t>
  </si>
  <si>
    <t>Token Purchase Agreement</t>
  </si>
  <si>
    <t>Links on-chain token to SPV rights. $2K-3K. | Day 50-70</t>
  </si>
  <si>
    <t>Photo &amp; Media</t>
  </si>
  <si>
    <t>8+ angles, macro, 360 video. $1K-3K. | Day 56-65</t>
  </si>
  <si>
    <t>PHASE 3: TOKENIZATION (Days 63-84)</t>
  </si>
  <si>
    <t>Brickken Platform (Year 1)</t>
  </si>
  <si>
    <t>Advanced tier EUR 5,000/yr. Includes 150 KYCs. | Day 63</t>
  </si>
  <si>
    <t>Configuration Review</t>
  </si>
  <si>
    <t>Not full audit — Brickken contracts pre-audited. | Day 63-75</t>
  </si>
  <si>
    <t>Development &amp; Testing</t>
  </si>
  <si>
    <t>10-30hrs config + testnet deploy. $200-400/hr. | Day 65-80</t>
  </si>
  <si>
    <t>Blockchain Gas Fees</t>
  </si>
  <si>
    <t>Polygon: $0.01/tx. Multiple deploys = $50-200. | Day 80</t>
  </si>
  <si>
    <t>Blue Sky Filings (5 States)</t>
  </si>
  <si>
    <t>3-5 target states. $100-500 each + filing service. | Day 80-84</t>
  </si>
  <si>
    <t>PHASE 4: DISTRIBUTION (Days 84-120)</t>
  </si>
  <si>
    <t>Marketing &amp; Investor Acq.</t>
  </si>
  <si>
    <t>LinkedIn Sales Nav + ads + direct outreach. | Day 84-120</t>
  </si>
  <si>
    <t>Investor KYC &amp; Accreditation</t>
  </si>
  <si>
    <t>Covered by Brickken 150 KYCs. Self-cert for $200K+. | Day 90-120</t>
  </si>
  <si>
    <t>Transfer Agent</t>
  </si>
  <si>
    <t>ERC-3643 on-chain registry = TA per SEC Jan 2026. | N/A</t>
  </si>
  <si>
    <t>Investor Portal / Data Room</t>
  </si>
  <si>
    <t>Built on existing Vercel site or Google Drive. | Day 80</t>
  </si>
  <si>
    <t>Compliance Monitoring (Year 1)</t>
  </si>
  <si>
    <t>Built into Brickken + ERC-3643. Quarterly re-screen. | Day 120+ ongoing</t>
  </si>
  <si>
    <t>Annual AML Audit</t>
  </si>
  <si>
    <t>Boutique compliance consultant. $3K-5K. | Month 12</t>
  </si>
  <si>
    <t>COST SUMMARY</t>
  </si>
  <si>
    <t>PleoChrome Direct Costs</t>
  </si>
  <si>
    <t>Asset Holder Pass-Through Costs</t>
  </si>
  <si>
    <t>BD Placement Fee</t>
  </si>
  <si>
    <t>TOTAL ALL COSTS</t>
  </si>
  <si>
    <t>PleoChrome P&amp;L — Per-Deal + 5-Year Projection</t>
  </si>
  <si>
    <t>Revenue Stream</t>
  </si>
  <si>
    <t>Year 1</t>
  </si>
  <si>
    <t>Year 2</t>
  </si>
  <si>
    <t>Year 3</t>
  </si>
  <si>
    <t>Year 4</t>
  </si>
  <si>
    <t>Year 5</t>
  </si>
  <si>
    <t>5-Year Total</t>
  </si>
  <si>
    <t>Setup Fee</t>
  </si>
  <si>
    <t>Success Fee</t>
  </si>
  <si>
    <t>Secondary Transfer Fees (est.)</t>
  </si>
  <si>
    <t>Annual Admin Fee</t>
  </si>
  <si>
    <t>Valuation Refresh Fee</t>
  </si>
  <si>
    <t>TOTAL REVENUE</t>
  </si>
  <si>
    <t>COSTS</t>
  </si>
  <si>
    <t>Annual Ongoing (PleoChrome share)</t>
  </si>
  <si>
    <t>TOTAL COSTS</t>
  </si>
  <si>
    <t>NET INCOME</t>
  </si>
  <si>
    <t>NET MARGIN</t>
  </si>
  <si>
    <t>ASSET HOLDER ECONOMICS</t>
  </si>
  <si>
    <t>Offering Value (after appraisal discount)</t>
  </si>
  <si>
    <t>Less: BD Placement Fee</t>
  </si>
  <si>
    <t>Less: PleoChrome Setup Fee</t>
  </si>
  <si>
    <t>Less: PleoChrome Success Fee</t>
  </si>
  <si>
    <t>Less: Asset Holder Pass-Through Costs</t>
  </si>
  <si>
    <t>NET PROCEEDS TO ASSET HOLDER</t>
  </si>
  <si>
    <t>% of Claimed Value</t>
  </si>
  <si>
    <t>Pricing Sources of Truth — All Assumptions Sourced</t>
  </si>
  <si>
    <t>Cost Category</t>
  </si>
  <si>
    <t>Rate / Amount</t>
  </si>
  <si>
    <t>Basis</t>
  </si>
  <si>
    <t>Last Verified</t>
  </si>
  <si>
    <t>Source URL / Reference</t>
  </si>
  <si>
    <t>GIA Colored Stone Report (50+ ct)</t>
  </si>
  <si>
    <t>$300-$500</t>
  </si>
  <si>
    <t>Per report</t>
  </si>
  <si>
    <t>Mar 2026</t>
  </si>
  <si>
    <t>gia.edu/gem-lab-fee-schedule</t>
  </si>
  <si>
    <t>SSEF Origin Report (50-100 ct)</t>
  </si>
  <si>
    <t>CHF 4,000</t>
  </si>
  <si>
    <t>ssef.ch/testing-prices</t>
  </si>
  <si>
    <t>Gubelin ID + Origin</t>
  </si>
  <si>
    <t>~CHF 4,000</t>
  </si>
  <si>
    <t>gubelingemlab.com</t>
  </si>
  <si>
    <t>USPAP Appraisal (CGA/MGA)</t>
  </si>
  <si>
    <t>$150-$250/hr</t>
  </si>
  <si>
    <t>Hourly (not % of value)</t>
  </si>
  <si>
    <t>americangemsociety.org/CGA</t>
  </si>
  <si>
    <t>Vault Custody (Brink's negotiated)</t>
  </si>
  <si>
    <t>0.10-0.15%</t>
  </si>
  <si>
    <t>Annual, of asset value</t>
  </si>
  <si>
    <t>us.brinks.com/precious-metals</t>
  </si>
  <si>
    <t>Vault Custody (Malca-Amit FTZ)</t>
  </si>
  <si>
    <t>0.10-0.25%</t>
  </si>
  <si>
    <t>malca-amit.com/vaults-ftz</t>
  </si>
  <si>
    <t>Specie Insurance (vault-stored)</t>
  </si>
  <si>
    <t>Annual, of insured value</t>
  </si>
  <si>
    <t>AXA XL / Lloyd's syndicate</t>
  </si>
  <si>
    <t>Transit Insurance (inland marine)</t>
  </si>
  <si>
    <t>0.25-1.0%</t>
  </si>
  <si>
    <t>Per transit event</t>
  </si>
  <si>
    <t>Marsh Fine Art &amp; Specie</t>
  </si>
  <si>
    <t>Brickken Advanced Tier</t>
  </si>
  <si>
    <t>EUR 5,000/yr</t>
  </si>
  <si>
    <t>Annual subscription</t>
  </si>
  <si>
    <t>brickken.com/plans</t>
  </si>
  <si>
    <t>Brickken Enterprise Tier</t>
  </si>
  <si>
    <t>EUR 22,000/yr</t>
  </si>
  <si>
    <t>Chainlink BUILD Program</t>
  </si>
  <si>
    <t>$0 cash</t>
  </si>
  <si>
    <t>Token supply commitment (3-7%)</t>
  </si>
  <si>
    <t>chain.link/build-program</t>
  </si>
  <si>
    <t>Chainlink LINK Feed Costs</t>
  </si>
  <si>
    <t>$100-200/mo</t>
  </si>
  <si>
    <t>Monthly oracle fees</t>
  </si>
  <si>
    <t>docs.chain.link/data-feeds</t>
  </si>
  <si>
    <t>Smart Contract Audit (full custom)</t>
  </si>
  <si>
    <t>$25K-$100K+</t>
  </si>
  <si>
    <t>Per audit</t>
  </si>
  <si>
    <t>sherlock.xyz/audit-pricing-2026</t>
  </si>
  <si>
    <t>Config Review (Brickken pre-audited)</t>
  </si>
  <si>
    <t>$2.5K-$5K</t>
  </si>
  <si>
    <t>Per review</t>
  </si>
  <si>
    <t>softstack.io/audit-cost-2025</t>
  </si>
  <si>
    <t>Securities Attorney (boutique PPM)</t>
  </si>
  <si>
    <t>$7.5K-$12K</t>
  </si>
  <si>
    <t>Flat fee per offering</t>
  </si>
  <si>
    <t>contractscounsel.com/ppm-cost</t>
  </si>
  <si>
    <t>Securities Attorney (BigLaw PPM)</t>
  </si>
  <si>
    <t>$35K-$75K</t>
  </si>
  <si>
    <t>ascentlawfirm.com/ppm-cost</t>
  </si>
  <si>
    <t>Wyoming Series LLC Formation</t>
  </si>
  <si>
    <t>$100</t>
  </si>
  <si>
    <t>One-time</t>
  </si>
  <si>
    <t>sos.wyo.gov/Business/docs/BusinessFees.pdf</t>
  </si>
  <si>
    <t>Wyoming Registered Agent</t>
  </si>
  <si>
    <t>$25-$125/yr</t>
  </si>
  <si>
    <t>Annual</t>
  </si>
  <si>
    <t>wyomingagents.com</t>
  </si>
  <si>
    <t>Form D Filing (SEC)</t>
  </si>
  <si>
    <t>$0</t>
  </si>
  <si>
    <t>No fee</t>
  </si>
  <si>
    <t>sec.gov/form-d</t>
  </si>
  <si>
    <t>Blue Sky Filing (per state avg)</t>
  </si>
  <si>
    <t>$100-$500</t>
  </si>
  <si>
    <t>Per state notice</t>
  </si>
  <si>
    <t>blueskycomply.com/fees</t>
  </si>
  <si>
    <t>KYC (Veriff Essential)</t>
  </si>
  <si>
    <t>$0.80/check</t>
  </si>
  <si>
    <t>Per verification</t>
  </si>
  <si>
    <t>veriff.com/plans/self-serve</t>
  </si>
  <si>
    <t>KYC (Sumsub Basic)</t>
  </si>
  <si>
    <t>$1.35/check</t>
  </si>
  <si>
    <t>sumsub.com/pricing</t>
  </si>
  <si>
    <t>KYC (Didit - free tier)</t>
  </si>
  <si>
    <t>500 free/month</t>
  </si>
  <si>
    <t>didit.me</t>
  </si>
  <si>
    <t>Accredited Investor Verification</t>
  </si>
  <si>
    <t>$50-$150/investor</t>
  </si>
  <si>
    <t>Per investor</t>
  </si>
  <si>
    <t>verifyinvestor.com</t>
  </si>
  <si>
    <t>Self-Cert ($200K+ investments)</t>
  </si>
  <si>
    <t>SEC March 2025 guidance</t>
  </si>
  <si>
    <t>SEC Rule 506(c) update</t>
  </si>
  <si>
    <t>BD Placement (full service)</t>
  </si>
  <si>
    <t>5-7%</t>
  </si>
  <si>
    <t>Of capital raised</t>
  </si>
  <si>
    <t>FINRA private placement guidelines</t>
  </si>
  <si>
    <t>AML Audit (boutique)</t>
  </si>
  <si>
    <t>$3K-$5K</t>
  </si>
  <si>
    <t>BSA/AML compliance benchmarks</t>
  </si>
  <si>
    <t>AML Audit (mid-tier firm)</t>
  </si>
  <si>
    <t>$10K-$25K</t>
  </si>
  <si>
    <t>Industry benchmark</t>
  </si>
  <si>
    <t>120-Day Payment Timeline — When Every Cost Hits</t>
  </si>
  <si>
    <t>Event</t>
  </si>
  <si>
    <t>Day Start</t>
  </si>
  <si>
    <t>Day End</t>
  </si>
  <si>
    <t>Cost Out</t>
  </si>
  <si>
    <t>Revenue In</t>
  </si>
  <si>
    <t>Running PC Balance</t>
  </si>
  <si>
    <t>Phase</t>
  </si>
  <si>
    <t>Engagement signed → Setup fee collected</t>
  </si>
  <si>
    <t>Acquisition</t>
  </si>
  <si>
    <t>KYC/KYB + Sanctions screening</t>
  </si>
  <si>
    <t>Provenance research (asset holder cost)</t>
  </si>
  <si>
    <t>Intake agreement (legal)</t>
  </si>
  <si>
    <t>Stone shipped to GIA/SSEF</t>
  </si>
  <si>
    <t>Preparation</t>
  </si>
  <si>
    <t>Lab reports received + verified</t>
  </si>
  <si>
    <t>Appraiser 1 inspection + report</t>
  </si>
  <si>
    <t>Appraiser 2 inspection + report</t>
  </si>
  <si>
    <t>Appraiser 3 inspection + report</t>
  </si>
  <si>
    <t>SPV formation filed</t>
  </si>
  <si>
    <t>PPM drafting begins</t>
  </si>
  <si>
    <t>Subscription + Token agreements</t>
  </si>
  <si>
    <t>Chainlink PoR integration</t>
  </si>
  <si>
    <t>Stone shipped to vault + custody begins</t>
  </si>
  <si>
    <t>Brickken platform setup</t>
  </si>
  <si>
    <t>Tokenization</t>
  </si>
  <si>
    <t>Configuration review</t>
  </si>
  <si>
    <t>Testnet deployment + testing</t>
  </si>
  <si>
    <t>Mainnet deployment + gas</t>
  </si>
  <si>
    <t>Blue sky filings</t>
  </si>
  <si>
    <t>Marketing + investor outreach begins</t>
  </si>
  <si>
    <t>Distribution</t>
  </si>
  <si>
    <t>First investor KYC + subscription</t>
  </si>
  <si>
    <t>Token sale closes → Success fee</t>
  </si>
  <si>
    <t>Compliance monitoring begins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</si>
</sst>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rgb="FF0B234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0"/>
      <color rgb="FF0B2341"/>
      <name val="Calibri"/>
    </font>
    <font>
      <sz val="10"/>
      <color rgb="FF333333"/>
      <name val="Calibri"/>
    </font>
    <font>
      <b/>
      <sz val="10"/>
      <color rgb="FF1565C0"/>
      <name val="Calibri"/>
    </font>
    <font>
      <sz val="9"/>
      <color rgb="FF888888"/>
      <name val="Calibri"/>
    </font>
    <font>
      <b/>
      <sz val="10"/>
      <color rgb="FF333333"/>
      <name val="Calibri"/>
    </font>
    <font>
      <b/>
      <sz val="11"/>
      <color rgb="FF0B2341"/>
      <name val="Calibri"/>
    </font>
    <font>
      <b/>
      <sz val="11"/>
      <color rgb="FF1B6B4A"/>
      <name val="Calibri"/>
    </font>
    <font>
      <b/>
      <sz val="10"/>
      <color rgb="FF1B6B4A"/>
      <name val="Calibri"/>
    </font>
    <font>
      <b/>
      <sz val="10"/>
      <color rgb="FFA61D3A"/>
      <name val="Calibri"/>
    </font>
    <font>
      <sz val="9"/>
      <color rgb="FF1565C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2341"/>
        <bgColor rgb="FF0B2341"/>
      </patternFill>
    </fill>
    <fill>
      <patternFill patternType="solid">
        <fgColor rgb="FFE0E0E0"/>
        <bgColor rgb="FFE0E0E0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0" borderId="1" xfId="0" applyFont="1" applyBorder="1"/>
    <xf numFmtId="0" fontId="6" fillId="4" borderId="1" xfId="0" applyFont="1" applyFill="1" applyBorder="1"/>
    <xf numFmtId="0" fontId="7" fillId="0" borderId="1" xfId="0" applyFont="1" applyBorder="1"/>
    <xf numFmtId="4" fontId="6" fillId="4" borderId="1" xfId="0" applyNumberFormat="1" applyFont="1" applyFill="1" applyBorder="1"/>
    <xf numFmtId="3" fontId="6" fillId="4" borderId="1" xfId="0" applyNumberFormat="1" applyFont="1" applyFill="1" applyBorder="1"/>
    <xf numFmtId="10" fontId="6" fillId="4" borderId="1" xfId="0" applyNumberFormat="1" applyFont="1" applyFill="1" applyBorder="1"/>
    <xf numFmtId="3" fontId="5" fillId="5" borderId="1" xfId="0" applyNumberFormat="1" applyFont="1" applyFill="1" applyBorder="1"/>
    <xf numFmtId="0" fontId="8" fillId="0" borderId="0" xfId="0" applyFont="1"/>
    <xf numFmtId="3" fontId="10" fillId="0" borderId="0" xfId="0" applyNumberFormat="1" applyFont="1"/>
    <xf numFmtId="0" fontId="9" fillId="0" borderId="0" xfId="0" applyFont="1"/>
    <xf numFmtId="0" fontId="11" fillId="0" borderId="0" xfId="0" applyFont="1"/>
    <xf numFmtId="0" fontId="5" fillId="5" borderId="1" xfId="0" applyFont="1" applyFill="1" applyBorder="1"/>
    <xf numFmtId="0" fontId="12" fillId="0" borderId="0" xfId="0" applyFont="1"/>
    <xf numFmtId="10" fontId="5" fillId="5" borderId="1" xfId="0" applyNumberFormat="1" applyFont="1" applyFill="1" applyBorder="1"/>
    <xf numFmtId="0" fontId="10" fillId="0" borderId="0" xfId="0" applyFont="1"/>
    <xf numFmtId="0" fontId="13" fillId="0" borderId="1" xfId="0" applyFont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1" fillId="0" borderId="0" xfId="0" applyFont="1"/>
    <xf numFmtId="0" fontId="0" fillId="0" borderId="0" xfId="0"/>
    <xf numFmtId="0" fontId="2" fillId="0" borderId="0" xfId="0" applyFont="1"/>
    <xf numFmtId="44" fontId="5" fillId="5" borderId="1" xfId="1" applyFont="1" applyFill="1" applyBorder="1"/>
    <xf numFmtId="166" fontId="5" fillId="5" borderId="1" xfId="1" applyNumberFormat="1" applyFont="1" applyFill="1" applyBorder="1"/>
    <xf numFmtId="166" fontId="5" fillId="0" borderId="1" xfId="1" applyNumberFormat="1" applyFont="1" applyBorder="1"/>
    <xf numFmtId="166" fontId="4" fillId="3" borderId="1" xfId="1" applyNumberFormat="1" applyFont="1" applyFill="1" applyBorder="1"/>
    <xf numFmtId="166" fontId="0" fillId="0" borderId="0" xfId="1" applyNumberFormat="1" applyFont="1"/>
    <xf numFmtId="166" fontId="0" fillId="6" borderId="1" xfId="1" applyNumberFormat="1" applyFont="1" applyFill="1" applyBorder="1"/>
    <xf numFmtId="166" fontId="0" fillId="7" borderId="1" xfId="1" applyNumberFormat="1" applyFont="1" applyFill="1" applyBorder="1"/>
    <xf numFmtId="166" fontId="0" fillId="5" borderId="1" xfId="1" applyNumberFormat="1" applyFont="1" applyFill="1" applyBorder="1"/>
    <xf numFmtId="166" fontId="0" fillId="8" borderId="1" xfId="1" applyNumberFormat="1" applyFont="1" applyFill="1" applyBorder="1"/>
    <xf numFmtId="44" fontId="5" fillId="6" borderId="1" xfId="1" applyFont="1" applyFill="1" applyBorder="1"/>
    <xf numFmtId="44" fontId="5" fillId="7" borderId="1" xfId="1" applyFont="1" applyFill="1" applyBorder="1"/>
    <xf numFmtId="44" fontId="5" fillId="8" borderId="1" xfId="1" applyFont="1" applyFill="1" applyBorder="1"/>
    <xf numFmtId="166" fontId="6" fillId="4" borderId="1" xfId="1" applyNumberFormat="1" applyFont="1" applyFill="1" applyBorder="1"/>
  </cellXfs>
  <cellStyles count="2">
    <cellStyle name="Currency" xfId="1" builtinId="4"/>
    <cellStyle name="Normal" xfId="0" builtinId="0"/>
  </cellStyles>
  <dxfs count="1">
    <dxf>
      <font>
        <b/>
        <color rgb="FFA61D3A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8B7A"/>
  </sheetPr>
  <dimension ref="A1:D23"/>
  <sheetViews>
    <sheetView tabSelected="1" workbookViewId="0">
      <selection activeCell="D21" sqref="D21"/>
    </sheetView>
  </sheetViews>
  <sheetFormatPr defaultRowHeight="15" x14ac:dyDescent="0.25"/>
  <cols>
    <col min="1" max="1" width="35" customWidth="1"/>
    <col min="2" max="2" width="18" customWidth="1"/>
    <col min="3" max="3" width="12" customWidth="1"/>
    <col min="4" max="4" width="45" customWidth="1"/>
  </cols>
  <sheetData>
    <row r="1" spans="1:4" ht="18.75" x14ac:dyDescent="0.3">
      <c r="A1" s="22" t="s">
        <v>0</v>
      </c>
      <c r="B1" s="23"/>
      <c r="C1" s="23"/>
      <c r="D1" s="23"/>
    </row>
    <row r="2" spans="1:4" x14ac:dyDescent="0.25">
      <c r="A2" s="24" t="s">
        <v>1</v>
      </c>
      <c r="B2" s="23"/>
      <c r="C2" s="23"/>
      <c r="D2" s="23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/>
      <c r="C5" s="2"/>
      <c r="D5" s="2"/>
    </row>
    <row r="6" spans="1:4" x14ac:dyDescent="0.25">
      <c r="A6" s="3" t="s">
        <v>7</v>
      </c>
      <c r="B6" s="4" t="s">
        <v>8</v>
      </c>
      <c r="C6" s="3"/>
      <c r="D6" s="5" t="s">
        <v>9</v>
      </c>
    </row>
    <row r="7" spans="1:4" x14ac:dyDescent="0.25">
      <c r="A7" s="3" t="s">
        <v>10</v>
      </c>
      <c r="B7" s="6">
        <v>55</v>
      </c>
      <c r="C7" s="3" t="s">
        <v>11</v>
      </c>
      <c r="D7" s="5" t="s">
        <v>12</v>
      </c>
    </row>
    <row r="8" spans="1:4" x14ac:dyDescent="0.25">
      <c r="A8" s="3" t="s">
        <v>13</v>
      </c>
      <c r="B8" s="4" t="s">
        <v>14</v>
      </c>
      <c r="C8" s="3"/>
      <c r="D8" s="5" t="s">
        <v>15</v>
      </c>
    </row>
    <row r="9" spans="1:4" x14ac:dyDescent="0.25">
      <c r="A9" s="3" t="s">
        <v>16</v>
      </c>
      <c r="B9" s="37">
        <v>55000000</v>
      </c>
      <c r="C9" s="3" t="s">
        <v>17</v>
      </c>
      <c r="D9" s="5" t="s">
        <v>18</v>
      </c>
    </row>
    <row r="10" spans="1:4" x14ac:dyDescent="0.25">
      <c r="A10" s="3" t="s">
        <v>19</v>
      </c>
      <c r="B10" s="8">
        <v>0.127</v>
      </c>
      <c r="C10" s="3" t="s">
        <v>20</v>
      </c>
      <c r="D10" s="5" t="s">
        <v>21</v>
      </c>
    </row>
    <row r="11" spans="1:4" x14ac:dyDescent="0.25">
      <c r="A11" s="3" t="s">
        <v>22</v>
      </c>
      <c r="B11" s="26">
        <f>B9*(1-B10)</f>
        <v>48015000</v>
      </c>
      <c r="C11" s="3" t="s">
        <v>17</v>
      </c>
      <c r="D11" s="5" t="e">
        <f>Claimed Value * (1 - Appraisal Discount)</f>
        <v>#NAME?</v>
      </c>
    </row>
    <row r="12" spans="1:4" x14ac:dyDescent="0.25">
      <c r="A12" s="3" t="s">
        <v>23</v>
      </c>
      <c r="B12" s="37">
        <v>100000</v>
      </c>
      <c r="C12" s="3" t="s">
        <v>17</v>
      </c>
      <c r="D12" s="5" t="s">
        <v>24</v>
      </c>
    </row>
    <row r="13" spans="1:4" x14ac:dyDescent="0.25">
      <c r="A13" s="3" t="s">
        <v>25</v>
      </c>
      <c r="B13" s="9">
        <f>INT(B11/B12)</f>
        <v>480</v>
      </c>
      <c r="C13" s="3" t="s">
        <v>26</v>
      </c>
      <c r="D13" s="5" t="e">
        <f>Offering Value / Token Price</f>
        <v>#NAME?</v>
      </c>
    </row>
    <row r="15" spans="1:4" x14ac:dyDescent="0.25">
      <c r="A15" s="2" t="s">
        <v>27</v>
      </c>
      <c r="B15" s="2"/>
      <c r="C15" s="2"/>
      <c r="D15" s="2"/>
    </row>
    <row r="16" spans="1:4" x14ac:dyDescent="0.25">
      <c r="A16" s="3" t="s">
        <v>28</v>
      </c>
      <c r="B16" s="8">
        <v>0.02</v>
      </c>
      <c r="C16" s="3" t="s">
        <v>20</v>
      </c>
      <c r="D16" s="5" t="s">
        <v>29</v>
      </c>
    </row>
    <row r="17" spans="1:4" x14ac:dyDescent="0.25">
      <c r="A17" s="3" t="s">
        <v>30</v>
      </c>
      <c r="B17" s="8">
        <v>1.4999999999999999E-2</v>
      </c>
      <c r="C17" s="3" t="s">
        <v>20</v>
      </c>
      <c r="D17" s="5" t="s">
        <v>31</v>
      </c>
    </row>
    <row r="18" spans="1:4" x14ac:dyDescent="0.25">
      <c r="A18" s="3" t="s">
        <v>32</v>
      </c>
      <c r="B18" s="8">
        <v>7.4999999999999997E-3</v>
      </c>
      <c r="C18" s="3" t="s">
        <v>20</v>
      </c>
      <c r="D18" s="5" t="s">
        <v>33</v>
      </c>
    </row>
    <row r="19" spans="1:4" x14ac:dyDescent="0.25">
      <c r="A19" s="3" t="s">
        <v>34</v>
      </c>
      <c r="B19" s="8">
        <v>7.0000000000000007E-2</v>
      </c>
      <c r="C19" s="3" t="s">
        <v>20</v>
      </c>
      <c r="D19" s="5" t="s">
        <v>35</v>
      </c>
    </row>
    <row r="20" spans="1:4" x14ac:dyDescent="0.25">
      <c r="A20" s="3" t="s">
        <v>36</v>
      </c>
      <c r="B20" s="26">
        <f>B9*B16</f>
        <v>1100000</v>
      </c>
      <c r="C20" s="3" t="s">
        <v>17</v>
      </c>
      <c r="D20" s="5" t="e">
        <f>Asset Value * Setup Fee Rate</f>
        <v>#NAME?</v>
      </c>
    </row>
    <row r="21" spans="1:4" x14ac:dyDescent="0.25">
      <c r="A21" s="3" t="s">
        <v>37</v>
      </c>
      <c r="B21" s="26">
        <f>B11*B17</f>
        <v>720225</v>
      </c>
      <c r="C21" s="3" t="s">
        <v>17</v>
      </c>
      <c r="D21" s="5" t="e">
        <f>Offering Value * Success Fee Rate</f>
        <v>#NAME?</v>
      </c>
    </row>
    <row r="22" spans="1:4" x14ac:dyDescent="0.25">
      <c r="A22" s="3" t="s">
        <v>38</v>
      </c>
      <c r="B22" s="26">
        <f>B11*B18</f>
        <v>360112.5</v>
      </c>
      <c r="C22" s="3" t="s">
        <v>17</v>
      </c>
      <c r="D22" s="5" t="e">
        <f>Offering Value * Admin Fee Rate</f>
        <v>#NAME?</v>
      </c>
    </row>
    <row r="23" spans="1:4" x14ac:dyDescent="0.25">
      <c r="A23" s="3" t="s">
        <v>39</v>
      </c>
      <c r="B23" s="26">
        <f>B11*B19</f>
        <v>3361050.0000000005</v>
      </c>
      <c r="C23" s="3" t="s">
        <v>17</v>
      </c>
      <c r="D23" s="5" t="e">
        <f>Offering Value * BD Rate</f>
        <v>#NAME?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6B4A"/>
  </sheetPr>
  <dimension ref="A1:F48"/>
  <sheetViews>
    <sheetView workbookViewId="0">
      <selection activeCell="E3" sqref="E1:E1048576"/>
    </sheetView>
  </sheetViews>
  <sheetFormatPr defaultRowHeight="15" x14ac:dyDescent="0.25"/>
  <cols>
    <col min="1" max="1" width="35" customWidth="1"/>
    <col min="2" max="2" width="19.42578125" customWidth="1"/>
    <col min="3" max="3" width="17.42578125" bestFit="1" customWidth="1"/>
    <col min="4" max="4" width="17.7109375" bestFit="1" customWidth="1"/>
    <col min="5" max="5" width="24.85546875" customWidth="1"/>
    <col min="6" max="6" width="67.7109375" customWidth="1"/>
  </cols>
  <sheetData>
    <row r="1" spans="1:6" ht="18.75" x14ac:dyDescent="0.3">
      <c r="A1" s="22" t="s">
        <v>40</v>
      </c>
      <c r="B1" s="23"/>
      <c r="C1" s="23"/>
      <c r="D1" s="23"/>
      <c r="E1" s="23"/>
      <c r="F1" s="23"/>
    </row>
    <row r="2" spans="1:6" x14ac:dyDescent="0.25">
      <c r="A2" s="24" t="s">
        <v>41</v>
      </c>
      <c r="B2" s="23"/>
      <c r="C2" s="23"/>
      <c r="D2" s="23"/>
      <c r="E2" s="23"/>
      <c r="F2" s="23"/>
    </row>
    <row r="4" spans="1:6" x14ac:dyDescent="0.25">
      <c r="A4" s="1"/>
      <c r="B4" s="1" t="s">
        <v>22</v>
      </c>
      <c r="C4" s="1" t="s">
        <v>42</v>
      </c>
      <c r="D4" s="1" t="s">
        <v>43</v>
      </c>
      <c r="E4" s="1" t="s">
        <v>44</v>
      </c>
      <c r="F4" s="1" t="s">
        <v>45</v>
      </c>
    </row>
    <row r="5" spans="1:6" x14ac:dyDescent="0.25">
      <c r="A5" s="10" t="s">
        <v>46</v>
      </c>
      <c r="B5" s="26">
        <f>Assumptions!B11</f>
        <v>48015000</v>
      </c>
      <c r="C5" s="26">
        <f>D45</f>
        <v>44200</v>
      </c>
      <c r="D5" s="26">
        <f>D46</f>
        <v>147000</v>
      </c>
      <c r="E5" s="26">
        <f>D47</f>
        <v>360112.5</v>
      </c>
      <c r="F5" s="11">
        <f>Assumptions!B11-D45-D46-D47-Assumptions!B19-Assumptions!B20</f>
        <v>46363687.43</v>
      </c>
    </row>
    <row r="7" spans="1:6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</row>
    <row r="8" spans="1:6" x14ac:dyDescent="0.25">
      <c r="A8" s="2" t="s">
        <v>53</v>
      </c>
      <c r="B8" s="2"/>
      <c r="C8" s="2"/>
      <c r="D8" s="2"/>
      <c r="E8" s="2"/>
      <c r="F8" s="2"/>
    </row>
    <row r="9" spans="1:6" x14ac:dyDescent="0.25">
      <c r="A9" s="3" t="s">
        <v>54</v>
      </c>
      <c r="B9" s="27">
        <v>50</v>
      </c>
      <c r="C9" s="7"/>
      <c r="D9" s="26">
        <f>IF(C9&lt;&gt;"",C9,B9)</f>
        <v>50</v>
      </c>
      <c r="E9" s="3" t="s">
        <v>55</v>
      </c>
      <c r="F9" s="3" t="s">
        <v>56</v>
      </c>
    </row>
    <row r="10" spans="1:6" x14ac:dyDescent="0.25">
      <c r="A10" s="3" t="s">
        <v>57</v>
      </c>
      <c r="B10" s="27">
        <v>100</v>
      </c>
      <c r="C10" s="7"/>
      <c r="D10" s="26">
        <f>IF(C10&lt;&gt;"",C10,B10)</f>
        <v>100</v>
      </c>
      <c r="E10" s="3" t="s">
        <v>55</v>
      </c>
      <c r="F10" s="3" t="s">
        <v>58</v>
      </c>
    </row>
    <row r="11" spans="1:6" x14ac:dyDescent="0.25">
      <c r="A11" s="3" t="s">
        <v>59</v>
      </c>
      <c r="B11" s="27">
        <v>2500</v>
      </c>
      <c r="C11" s="7"/>
      <c r="D11" s="26">
        <f>IF(C11&lt;&gt;"",C11,B11)</f>
        <v>2500</v>
      </c>
      <c r="E11" s="3" t="s">
        <v>60</v>
      </c>
      <c r="F11" s="3" t="s">
        <v>61</v>
      </c>
    </row>
    <row r="12" spans="1:6" x14ac:dyDescent="0.25">
      <c r="A12" s="3" t="s">
        <v>62</v>
      </c>
      <c r="B12" s="27">
        <v>2500</v>
      </c>
      <c r="C12" s="7"/>
      <c r="D12" s="26">
        <f>IF(C12&lt;&gt;"",C12,B12)</f>
        <v>2500</v>
      </c>
      <c r="E12" s="3" t="s">
        <v>55</v>
      </c>
      <c r="F12" s="3" t="s">
        <v>63</v>
      </c>
    </row>
    <row r="13" spans="1:6" x14ac:dyDescent="0.25">
      <c r="A13" s="2" t="s">
        <v>64</v>
      </c>
      <c r="B13" s="28"/>
      <c r="C13" s="2"/>
      <c r="D13" s="28"/>
      <c r="E13" s="2"/>
      <c r="F13" s="2"/>
    </row>
    <row r="14" spans="1:6" x14ac:dyDescent="0.25">
      <c r="A14" s="3" t="s">
        <v>65</v>
      </c>
      <c r="B14" s="27">
        <v>0</v>
      </c>
      <c r="C14" s="7"/>
      <c r="D14" s="26">
        <f t="shared" ref="D14:D29" si="0">IF(C14&lt;&gt;"",C14,B14)</f>
        <v>0</v>
      </c>
      <c r="E14" s="3" t="s">
        <v>60</v>
      </c>
      <c r="F14" s="3" t="s">
        <v>66</v>
      </c>
    </row>
    <row r="15" spans="1:6" x14ac:dyDescent="0.25">
      <c r="A15" s="3" t="s">
        <v>67</v>
      </c>
      <c r="B15" s="27">
        <v>0</v>
      </c>
      <c r="C15" s="7"/>
      <c r="D15" s="26">
        <f t="shared" si="0"/>
        <v>0</v>
      </c>
      <c r="E15" s="3" t="s">
        <v>60</v>
      </c>
      <c r="F15" s="3" t="s">
        <v>68</v>
      </c>
    </row>
    <row r="16" spans="1:6" x14ac:dyDescent="0.25">
      <c r="A16" s="3" t="s">
        <v>69</v>
      </c>
      <c r="B16" s="27">
        <v>0</v>
      </c>
      <c r="C16" s="7"/>
      <c r="D16" s="26">
        <f t="shared" si="0"/>
        <v>0</v>
      </c>
      <c r="E16" s="3" t="s">
        <v>60</v>
      </c>
      <c r="F16" s="3" t="s">
        <v>70</v>
      </c>
    </row>
    <row r="17" spans="1:6" x14ac:dyDescent="0.25">
      <c r="A17" s="3" t="s">
        <v>71</v>
      </c>
      <c r="B17" s="27">
        <v>7500</v>
      </c>
      <c r="C17" s="7"/>
      <c r="D17" s="26">
        <f t="shared" si="0"/>
        <v>7500</v>
      </c>
      <c r="E17" s="3" t="s">
        <v>60</v>
      </c>
      <c r="F17" s="3" t="s">
        <v>72</v>
      </c>
    </row>
    <row r="18" spans="1:6" x14ac:dyDescent="0.25">
      <c r="A18" s="3" t="s">
        <v>73</v>
      </c>
      <c r="B18" s="27">
        <v>7500</v>
      </c>
      <c r="C18" s="7"/>
      <c r="D18" s="26">
        <f t="shared" si="0"/>
        <v>7500</v>
      </c>
      <c r="E18" s="3" t="s">
        <v>60</v>
      </c>
      <c r="F18" s="3" t="s">
        <v>74</v>
      </c>
    </row>
    <row r="19" spans="1:6" x14ac:dyDescent="0.25">
      <c r="A19" s="3" t="s">
        <v>75</v>
      </c>
      <c r="B19" s="27">
        <v>7500</v>
      </c>
      <c r="C19" s="7"/>
      <c r="D19" s="26">
        <f t="shared" si="0"/>
        <v>7500</v>
      </c>
      <c r="E19" s="3" t="s">
        <v>60</v>
      </c>
      <c r="F19" s="3" t="s">
        <v>76</v>
      </c>
    </row>
    <row r="20" spans="1:6" x14ac:dyDescent="0.25">
      <c r="A20" s="3" t="s">
        <v>77</v>
      </c>
      <c r="B20" s="27">
        <v>10000</v>
      </c>
      <c r="C20" s="7"/>
      <c r="D20" s="26">
        <f t="shared" si="0"/>
        <v>10000</v>
      </c>
      <c r="E20" s="3" t="s">
        <v>60</v>
      </c>
      <c r="F20" s="3" t="s">
        <v>78</v>
      </c>
    </row>
    <row r="21" spans="1:6" x14ac:dyDescent="0.25">
      <c r="A21" s="3" t="s">
        <v>79</v>
      </c>
      <c r="B21" s="27">
        <v>55000</v>
      </c>
      <c r="C21" s="7"/>
      <c r="D21" s="26">
        <f t="shared" si="0"/>
        <v>55000</v>
      </c>
      <c r="E21" s="3" t="s">
        <v>60</v>
      </c>
      <c r="F21" s="3" t="s">
        <v>80</v>
      </c>
    </row>
    <row r="22" spans="1:6" x14ac:dyDescent="0.25">
      <c r="A22" s="3" t="s">
        <v>81</v>
      </c>
      <c r="B22" s="27">
        <v>55000</v>
      </c>
      <c r="C22" s="7"/>
      <c r="D22" s="26">
        <f t="shared" si="0"/>
        <v>55000</v>
      </c>
      <c r="E22" s="3" t="s">
        <v>60</v>
      </c>
      <c r="F22" s="3" t="s">
        <v>82</v>
      </c>
    </row>
    <row r="23" spans="1:6" x14ac:dyDescent="0.25">
      <c r="A23" s="3" t="s">
        <v>83</v>
      </c>
      <c r="B23" s="27">
        <v>2500</v>
      </c>
      <c r="C23" s="7"/>
      <c r="D23" s="26">
        <f t="shared" si="0"/>
        <v>2500</v>
      </c>
      <c r="E23" s="3" t="s">
        <v>55</v>
      </c>
      <c r="F23" s="3" t="s">
        <v>84</v>
      </c>
    </row>
    <row r="24" spans="1:6" x14ac:dyDescent="0.25">
      <c r="A24" s="3" t="s">
        <v>85</v>
      </c>
      <c r="B24" s="27">
        <v>1200</v>
      </c>
      <c r="C24" s="7"/>
      <c r="D24" s="26">
        <f t="shared" si="0"/>
        <v>1200</v>
      </c>
      <c r="E24" s="3" t="s">
        <v>55</v>
      </c>
      <c r="F24" s="3" t="s">
        <v>86</v>
      </c>
    </row>
    <row r="25" spans="1:6" x14ac:dyDescent="0.25">
      <c r="A25" s="3" t="s">
        <v>87</v>
      </c>
      <c r="B25" s="27">
        <v>750</v>
      </c>
      <c r="C25" s="7"/>
      <c r="D25" s="26">
        <f t="shared" si="0"/>
        <v>750</v>
      </c>
      <c r="E25" s="3" t="s">
        <v>55</v>
      </c>
      <c r="F25" s="3" t="s">
        <v>88</v>
      </c>
    </row>
    <row r="26" spans="1:6" x14ac:dyDescent="0.25">
      <c r="A26" s="3" t="s">
        <v>89</v>
      </c>
      <c r="B26" s="27">
        <v>10000</v>
      </c>
      <c r="C26" s="7"/>
      <c r="D26" s="26">
        <f t="shared" si="0"/>
        <v>10000</v>
      </c>
      <c r="E26" s="3" t="s">
        <v>55</v>
      </c>
      <c r="F26" s="3" t="s">
        <v>90</v>
      </c>
    </row>
    <row r="27" spans="1:6" x14ac:dyDescent="0.25">
      <c r="A27" s="3" t="s">
        <v>91</v>
      </c>
      <c r="B27" s="27">
        <v>2000</v>
      </c>
      <c r="C27" s="7"/>
      <c r="D27" s="26">
        <f t="shared" si="0"/>
        <v>2000</v>
      </c>
      <c r="E27" s="3" t="s">
        <v>55</v>
      </c>
      <c r="F27" s="3" t="s">
        <v>92</v>
      </c>
    </row>
    <row r="28" spans="1:6" x14ac:dyDescent="0.25">
      <c r="A28" s="3" t="s">
        <v>93</v>
      </c>
      <c r="B28" s="27">
        <v>2500</v>
      </c>
      <c r="C28" s="7"/>
      <c r="D28" s="26">
        <f t="shared" si="0"/>
        <v>2500</v>
      </c>
      <c r="E28" s="3" t="s">
        <v>55</v>
      </c>
      <c r="F28" s="3" t="s">
        <v>94</v>
      </c>
    </row>
    <row r="29" spans="1:6" x14ac:dyDescent="0.25">
      <c r="A29" s="3" t="s">
        <v>95</v>
      </c>
      <c r="B29" s="27">
        <v>2000</v>
      </c>
      <c r="C29" s="7"/>
      <c r="D29" s="26">
        <f t="shared" si="0"/>
        <v>2000</v>
      </c>
      <c r="E29" s="3" t="s">
        <v>60</v>
      </c>
      <c r="F29" s="3" t="s">
        <v>96</v>
      </c>
    </row>
    <row r="30" spans="1:6" x14ac:dyDescent="0.25">
      <c r="A30" s="2" t="s">
        <v>97</v>
      </c>
      <c r="B30" s="28"/>
      <c r="C30" s="2"/>
      <c r="D30" s="28"/>
      <c r="E30" s="2"/>
      <c r="F30" s="2"/>
    </row>
    <row r="31" spans="1:6" x14ac:dyDescent="0.25">
      <c r="A31" s="3" t="s">
        <v>98</v>
      </c>
      <c r="B31" s="27">
        <v>5500</v>
      </c>
      <c r="C31" s="7"/>
      <c r="D31" s="26">
        <f>IF(C31&lt;&gt;"",C31,B31)</f>
        <v>5500</v>
      </c>
      <c r="E31" s="3" t="s">
        <v>55</v>
      </c>
      <c r="F31" s="3" t="s">
        <v>99</v>
      </c>
    </row>
    <row r="32" spans="1:6" x14ac:dyDescent="0.25">
      <c r="A32" s="3" t="s">
        <v>100</v>
      </c>
      <c r="B32" s="27">
        <v>3500</v>
      </c>
      <c r="C32" s="7"/>
      <c r="D32" s="26">
        <f>IF(C32&lt;&gt;"",C32,B32)</f>
        <v>3500</v>
      </c>
      <c r="E32" s="3" t="s">
        <v>55</v>
      </c>
      <c r="F32" s="3" t="s">
        <v>101</v>
      </c>
    </row>
    <row r="33" spans="1:6" x14ac:dyDescent="0.25">
      <c r="A33" s="3" t="s">
        <v>102</v>
      </c>
      <c r="B33" s="27">
        <v>5000</v>
      </c>
      <c r="C33" s="7"/>
      <c r="D33" s="26">
        <f>IF(C33&lt;&gt;"",C33,B33)</f>
        <v>5000</v>
      </c>
      <c r="E33" s="3" t="s">
        <v>55</v>
      </c>
      <c r="F33" s="3" t="s">
        <v>103</v>
      </c>
    </row>
    <row r="34" spans="1:6" x14ac:dyDescent="0.25">
      <c r="A34" s="3" t="s">
        <v>104</v>
      </c>
      <c r="B34" s="27">
        <v>100</v>
      </c>
      <c r="C34" s="7"/>
      <c r="D34" s="26">
        <f>IF(C34&lt;&gt;"",C34,B34)</f>
        <v>100</v>
      </c>
      <c r="E34" s="3" t="s">
        <v>55</v>
      </c>
      <c r="F34" s="3" t="s">
        <v>105</v>
      </c>
    </row>
    <row r="35" spans="1:6" x14ac:dyDescent="0.25">
      <c r="A35" s="3" t="s">
        <v>106</v>
      </c>
      <c r="B35" s="27">
        <v>1500</v>
      </c>
      <c r="C35" s="7"/>
      <c r="D35" s="26">
        <f>IF(C35&lt;&gt;"",C35,B35)</f>
        <v>1500</v>
      </c>
      <c r="E35" s="3" t="s">
        <v>55</v>
      </c>
      <c r="F35" s="3" t="s">
        <v>107</v>
      </c>
    </row>
    <row r="36" spans="1:6" x14ac:dyDescent="0.25">
      <c r="A36" s="2" t="s">
        <v>108</v>
      </c>
      <c r="B36" s="28"/>
      <c r="C36" s="2"/>
      <c r="D36" s="28"/>
      <c r="E36" s="2"/>
      <c r="F36" s="2"/>
    </row>
    <row r="37" spans="1:6" x14ac:dyDescent="0.25">
      <c r="A37" s="3" t="s">
        <v>109</v>
      </c>
      <c r="B37" s="27">
        <v>3000</v>
      </c>
      <c r="C37" s="7"/>
      <c r="D37" s="26">
        <f t="shared" ref="D37:D42" si="1">IF(C37&lt;&gt;"",C37,B37)</f>
        <v>3000</v>
      </c>
      <c r="E37" s="3" t="s">
        <v>55</v>
      </c>
      <c r="F37" s="3" t="s">
        <v>110</v>
      </c>
    </row>
    <row r="38" spans="1:6" x14ac:dyDescent="0.25">
      <c r="A38" s="3" t="s">
        <v>111</v>
      </c>
      <c r="B38" s="27">
        <v>0</v>
      </c>
      <c r="C38" s="7"/>
      <c r="D38" s="26">
        <f t="shared" si="1"/>
        <v>0</v>
      </c>
      <c r="E38" s="3" t="s">
        <v>55</v>
      </c>
      <c r="F38" s="3" t="s">
        <v>112</v>
      </c>
    </row>
    <row r="39" spans="1:6" x14ac:dyDescent="0.25">
      <c r="A39" s="3" t="s">
        <v>113</v>
      </c>
      <c r="B39" s="27">
        <v>0</v>
      </c>
      <c r="C39" s="7"/>
      <c r="D39" s="26">
        <f t="shared" si="1"/>
        <v>0</v>
      </c>
      <c r="E39" s="3" t="s">
        <v>55</v>
      </c>
      <c r="F39" s="3" t="s">
        <v>114</v>
      </c>
    </row>
    <row r="40" spans="1:6" x14ac:dyDescent="0.25">
      <c r="A40" s="3" t="s">
        <v>115</v>
      </c>
      <c r="B40" s="27">
        <v>0</v>
      </c>
      <c r="C40" s="7"/>
      <c r="D40" s="26">
        <f t="shared" si="1"/>
        <v>0</v>
      </c>
      <c r="E40" s="3" t="s">
        <v>55</v>
      </c>
      <c r="F40" s="3" t="s">
        <v>116</v>
      </c>
    </row>
    <row r="41" spans="1:6" x14ac:dyDescent="0.25">
      <c r="A41" s="3" t="s">
        <v>117</v>
      </c>
      <c r="B41" s="27">
        <v>500</v>
      </c>
      <c r="C41" s="7"/>
      <c r="D41" s="26">
        <f t="shared" si="1"/>
        <v>500</v>
      </c>
      <c r="E41" s="3" t="s">
        <v>55</v>
      </c>
      <c r="F41" s="3" t="s">
        <v>118</v>
      </c>
    </row>
    <row r="42" spans="1:6" x14ac:dyDescent="0.25">
      <c r="A42" s="3" t="s">
        <v>119</v>
      </c>
      <c r="B42" s="27">
        <v>3500</v>
      </c>
      <c r="C42" s="7"/>
      <c r="D42" s="26">
        <f t="shared" si="1"/>
        <v>3500</v>
      </c>
      <c r="E42" s="3" t="s">
        <v>55</v>
      </c>
      <c r="F42" s="3" t="s">
        <v>120</v>
      </c>
    </row>
    <row r="43" spans="1:6" x14ac:dyDescent="0.25">
      <c r="B43" s="29"/>
    </row>
    <row r="44" spans="1:6" x14ac:dyDescent="0.25">
      <c r="A44" s="2" t="s">
        <v>121</v>
      </c>
      <c r="B44" s="2"/>
      <c r="C44" s="2"/>
      <c r="D44" s="2"/>
      <c r="E44" s="2"/>
      <c r="F44" s="2"/>
    </row>
    <row r="45" spans="1:6" x14ac:dyDescent="0.25">
      <c r="A45" s="10" t="s">
        <v>122</v>
      </c>
      <c r="D45" s="26">
        <f>D9+D10+D12+D23+D24+D25+D26+D27+D28+D31+D32+D33+D34+D35+D37+D38+D39+D40+D41+D42</f>
        <v>44200</v>
      </c>
    </row>
    <row r="46" spans="1:6" x14ac:dyDescent="0.25">
      <c r="A46" s="10" t="s">
        <v>123</v>
      </c>
      <c r="D46" s="26">
        <f>D11+D14+D15+D16+D17+D18+D19+D20+D21+D22+D29</f>
        <v>147000</v>
      </c>
    </row>
    <row r="47" spans="1:6" x14ac:dyDescent="0.25">
      <c r="A47" s="10" t="s">
        <v>124</v>
      </c>
      <c r="D47" s="26">
        <f>Assumptions!B22</f>
        <v>360112.5</v>
      </c>
    </row>
    <row r="48" spans="1:6" x14ac:dyDescent="0.25">
      <c r="A48" s="12" t="s">
        <v>125</v>
      </c>
      <c r="D48" s="26">
        <f>D45+D46+D47</f>
        <v>551312.5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3A6E"/>
  </sheetPr>
  <dimension ref="A1:G27"/>
  <sheetViews>
    <sheetView workbookViewId="0">
      <selection activeCell="C26" sqref="C26"/>
    </sheetView>
  </sheetViews>
  <sheetFormatPr defaultRowHeight="15" x14ac:dyDescent="0.25"/>
  <cols>
    <col min="1" max="1" width="35" customWidth="1"/>
    <col min="2" max="7" width="15" customWidth="1"/>
  </cols>
  <sheetData>
    <row r="1" spans="1:7" ht="18.75" x14ac:dyDescent="0.3">
      <c r="A1" s="22" t="s">
        <v>126</v>
      </c>
      <c r="B1" s="23"/>
      <c r="C1" s="23"/>
      <c r="D1" s="23"/>
      <c r="E1" s="23"/>
      <c r="F1" s="23"/>
      <c r="G1" s="23"/>
    </row>
    <row r="3" spans="1:7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</row>
    <row r="4" spans="1:7" x14ac:dyDescent="0.25">
      <c r="A4" s="3" t="s">
        <v>134</v>
      </c>
      <c r="B4" s="26">
        <f>Assumptions!B19</f>
        <v>7.0000000000000007E-2</v>
      </c>
      <c r="C4" s="26">
        <v>0</v>
      </c>
      <c r="D4" s="26">
        <v>0</v>
      </c>
      <c r="E4" s="26">
        <v>0</v>
      </c>
      <c r="F4" s="26">
        <v>0</v>
      </c>
      <c r="G4" s="26">
        <f>SUM(B4:F4)</f>
        <v>7.0000000000000007E-2</v>
      </c>
    </row>
    <row r="5" spans="1:7" x14ac:dyDescent="0.25">
      <c r="A5" s="3" t="s">
        <v>135</v>
      </c>
      <c r="B5" s="26">
        <f>Assumptions!B20</f>
        <v>1100000</v>
      </c>
      <c r="C5" s="26">
        <v>0</v>
      </c>
      <c r="D5" s="26">
        <v>0</v>
      </c>
      <c r="E5" s="26">
        <v>0</v>
      </c>
      <c r="F5" s="26">
        <v>0</v>
      </c>
      <c r="G5" s="26">
        <f>SUM(B5:F5)</f>
        <v>1100000</v>
      </c>
    </row>
    <row r="6" spans="1:7" x14ac:dyDescent="0.25">
      <c r="A6" s="3" t="s">
        <v>136</v>
      </c>
      <c r="B6" s="26">
        <v>12000</v>
      </c>
      <c r="C6" s="26">
        <v>24000</v>
      </c>
      <c r="D6" s="26">
        <v>24000</v>
      </c>
      <c r="E6" s="26">
        <v>24000</v>
      </c>
      <c r="F6" s="26">
        <v>24000</v>
      </c>
      <c r="G6" s="26">
        <f>SUM(B6:F6)</f>
        <v>108000</v>
      </c>
    </row>
    <row r="7" spans="1:7" x14ac:dyDescent="0.25">
      <c r="A7" s="3" t="s">
        <v>137</v>
      </c>
      <c r="B7" s="26">
        <v>0</v>
      </c>
      <c r="C7" s="26">
        <f>Assumptions!B21</f>
        <v>720225</v>
      </c>
      <c r="D7" s="26">
        <f>Assumptions!B21</f>
        <v>720225</v>
      </c>
      <c r="E7" s="26">
        <f>Assumptions!B21</f>
        <v>720225</v>
      </c>
      <c r="F7" s="26">
        <f>Assumptions!B21</f>
        <v>720225</v>
      </c>
      <c r="G7" s="26">
        <f>SUM(B7:F7)</f>
        <v>2880900</v>
      </c>
    </row>
    <row r="8" spans="1:7" x14ac:dyDescent="0.25">
      <c r="A8" s="3" t="s">
        <v>138</v>
      </c>
      <c r="B8" s="26">
        <v>0</v>
      </c>
      <c r="C8" s="26">
        <v>25000</v>
      </c>
      <c r="D8" s="26">
        <v>25000</v>
      </c>
      <c r="E8" s="26">
        <v>25000</v>
      </c>
      <c r="F8" s="26">
        <v>25000</v>
      </c>
      <c r="G8" s="26">
        <f>SUM(B8:F8)</f>
        <v>100000</v>
      </c>
    </row>
    <row r="9" spans="1:7" x14ac:dyDescent="0.25">
      <c r="A9" s="13" t="s">
        <v>139</v>
      </c>
      <c r="B9" s="26">
        <f t="shared" ref="B9:G9" si="0">SUM(B4:B8)</f>
        <v>1112000.07</v>
      </c>
      <c r="C9" s="26">
        <f t="shared" si="0"/>
        <v>769225</v>
      </c>
      <c r="D9" s="26">
        <f t="shared" si="0"/>
        <v>769225</v>
      </c>
      <c r="E9" s="26">
        <f t="shared" si="0"/>
        <v>769225</v>
      </c>
      <c r="F9" s="26">
        <f t="shared" si="0"/>
        <v>769225</v>
      </c>
      <c r="G9" s="26">
        <f t="shared" si="0"/>
        <v>4188900.0700000003</v>
      </c>
    </row>
    <row r="11" spans="1:7" x14ac:dyDescent="0.25">
      <c r="A11" s="2" t="s">
        <v>140</v>
      </c>
      <c r="B11" s="2"/>
      <c r="C11" s="2"/>
      <c r="D11" s="2"/>
      <c r="E11" s="2"/>
      <c r="F11" s="2"/>
      <c r="G11" s="2"/>
    </row>
    <row r="12" spans="1:7" x14ac:dyDescent="0.25">
      <c r="A12" t="s">
        <v>122</v>
      </c>
      <c r="B12" s="26">
        <f>'Deal Model'!D45</f>
        <v>44200</v>
      </c>
      <c r="C12" s="26">
        <v>0</v>
      </c>
      <c r="D12" s="26">
        <v>0</v>
      </c>
      <c r="E12" s="26">
        <v>0</v>
      </c>
      <c r="F12" s="26">
        <v>0</v>
      </c>
      <c r="G12" s="26">
        <f>SUM(B12:F12)</f>
        <v>44200</v>
      </c>
    </row>
    <row r="13" spans="1:7" x14ac:dyDescent="0.25">
      <c r="A13" t="s">
        <v>141</v>
      </c>
      <c r="B13" s="26">
        <v>0</v>
      </c>
      <c r="C13" s="26">
        <v>15000</v>
      </c>
      <c r="D13" s="26">
        <v>15000</v>
      </c>
      <c r="E13" s="26">
        <v>15000</v>
      </c>
      <c r="F13" s="26">
        <v>15000</v>
      </c>
      <c r="G13" s="26">
        <f>SUM(B13:F13)</f>
        <v>60000</v>
      </c>
    </row>
    <row r="14" spans="1:7" x14ac:dyDescent="0.25">
      <c r="A14" s="15" t="s">
        <v>142</v>
      </c>
      <c r="B14" s="26">
        <f t="shared" ref="B14:G14" si="1">SUM(B12:B13)</f>
        <v>44200</v>
      </c>
      <c r="C14" s="26">
        <f t="shared" si="1"/>
        <v>15000</v>
      </c>
      <c r="D14" s="26">
        <f t="shared" si="1"/>
        <v>15000</v>
      </c>
      <c r="E14" s="26">
        <f t="shared" si="1"/>
        <v>15000</v>
      </c>
      <c r="F14" s="26">
        <f t="shared" si="1"/>
        <v>15000</v>
      </c>
      <c r="G14" s="26">
        <f t="shared" si="1"/>
        <v>104200</v>
      </c>
    </row>
    <row r="15" spans="1:7" x14ac:dyDescent="0.25">
      <c r="A15" s="12" t="s">
        <v>143</v>
      </c>
      <c r="B15" s="26">
        <f t="shared" ref="B15:G15" si="2">B9-B14</f>
        <v>1067800.07</v>
      </c>
      <c r="C15" s="26">
        <f t="shared" si="2"/>
        <v>754225</v>
      </c>
      <c r="D15" s="26">
        <f t="shared" si="2"/>
        <v>754225</v>
      </c>
      <c r="E15" s="26">
        <f t="shared" si="2"/>
        <v>754225</v>
      </c>
      <c r="F15" s="26">
        <f t="shared" si="2"/>
        <v>754225</v>
      </c>
      <c r="G15" s="26">
        <f t="shared" si="2"/>
        <v>4084700.0700000003</v>
      </c>
    </row>
    <row r="16" spans="1:7" x14ac:dyDescent="0.25">
      <c r="A16" t="s">
        <v>144</v>
      </c>
      <c r="B16" s="26">
        <f t="shared" ref="B16:G16" si="3">IF(B9=0,0,B15/B9)</f>
        <v>0.96025180106328589</v>
      </c>
      <c r="C16" s="26">
        <f t="shared" si="3"/>
        <v>0.98049985374890314</v>
      </c>
      <c r="D16" s="26">
        <f t="shared" si="3"/>
        <v>0.98049985374890314</v>
      </c>
      <c r="E16" s="26">
        <f t="shared" si="3"/>
        <v>0.98049985374890314</v>
      </c>
      <c r="F16" s="26">
        <f t="shared" si="3"/>
        <v>0.98049985374890314</v>
      </c>
      <c r="G16" s="26">
        <f t="shared" si="3"/>
        <v>0.97512473483283646</v>
      </c>
    </row>
    <row r="19" spans="1:7" x14ac:dyDescent="0.25">
      <c r="A19" s="2" t="s">
        <v>145</v>
      </c>
      <c r="B19" s="2"/>
      <c r="C19" s="2"/>
      <c r="D19" s="2"/>
      <c r="E19" s="2"/>
      <c r="F19" s="2"/>
      <c r="G19" s="2"/>
    </row>
    <row r="20" spans="1:7" x14ac:dyDescent="0.25">
      <c r="A20" s="3" t="s">
        <v>16</v>
      </c>
      <c r="B20" s="26">
        <f>Assumptions!B9</f>
        <v>55000000</v>
      </c>
    </row>
    <row r="21" spans="1:7" x14ac:dyDescent="0.25">
      <c r="A21" s="3" t="s">
        <v>146</v>
      </c>
      <c r="B21" s="26">
        <f>Assumptions!B11</f>
        <v>48015000</v>
      </c>
    </row>
    <row r="22" spans="1:7" x14ac:dyDescent="0.25">
      <c r="A22" s="3" t="s">
        <v>147</v>
      </c>
      <c r="B22" s="26">
        <f>-Assumptions!B22</f>
        <v>-360112.5</v>
      </c>
    </row>
    <row r="23" spans="1:7" x14ac:dyDescent="0.25">
      <c r="A23" s="3" t="s">
        <v>148</v>
      </c>
      <c r="B23" s="26">
        <f>-Assumptions!B19</f>
        <v>-7.0000000000000007E-2</v>
      </c>
    </row>
    <row r="24" spans="1:7" x14ac:dyDescent="0.25">
      <c r="A24" s="3" t="s">
        <v>149</v>
      </c>
      <c r="B24" s="26">
        <f>-Assumptions!B20</f>
        <v>-1100000</v>
      </c>
    </row>
    <row r="25" spans="1:7" x14ac:dyDescent="0.25">
      <c r="A25" s="3" t="s">
        <v>150</v>
      </c>
      <c r="B25" s="26">
        <f>-'Deal Model'!D46</f>
        <v>-147000</v>
      </c>
    </row>
    <row r="26" spans="1:7" x14ac:dyDescent="0.25">
      <c r="A26" s="17" t="s">
        <v>151</v>
      </c>
      <c r="B26" s="26">
        <f>SUM(B21:B25)</f>
        <v>46407887.43</v>
      </c>
    </row>
    <row r="27" spans="1:7" x14ac:dyDescent="0.25">
      <c r="A27" t="s">
        <v>152</v>
      </c>
      <c r="B27" s="16">
        <f>B26/B20</f>
        <v>0.84377977145454541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7A1A"/>
  </sheetPr>
  <dimension ref="A1:E31"/>
  <sheetViews>
    <sheetView workbookViewId="0">
      <selection activeCell="E29" sqref="E29"/>
    </sheetView>
  </sheetViews>
  <sheetFormatPr defaultRowHeight="15" x14ac:dyDescent="0.25"/>
  <cols>
    <col min="1" max="1" width="30" customWidth="1"/>
    <col min="2" max="2" width="25.42578125" customWidth="1"/>
    <col min="3" max="3" width="31.42578125" customWidth="1"/>
    <col min="4" max="4" width="20" customWidth="1"/>
    <col min="5" max="5" width="48.42578125" customWidth="1"/>
  </cols>
  <sheetData>
    <row r="1" spans="1:5" ht="18.75" x14ac:dyDescent="0.3">
      <c r="A1" s="22" t="s">
        <v>153</v>
      </c>
      <c r="B1" s="23"/>
      <c r="C1" s="23"/>
      <c r="D1" s="23"/>
      <c r="E1" s="23"/>
    </row>
    <row r="3" spans="1:5" x14ac:dyDescent="0.25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</row>
    <row r="4" spans="1:5" x14ac:dyDescent="0.25">
      <c r="A4" s="3" t="s">
        <v>159</v>
      </c>
      <c r="B4" s="3" t="s">
        <v>160</v>
      </c>
      <c r="C4" s="3" t="s">
        <v>161</v>
      </c>
      <c r="D4" s="3" t="s">
        <v>162</v>
      </c>
      <c r="E4" s="18" t="s">
        <v>163</v>
      </c>
    </row>
    <row r="5" spans="1:5" x14ac:dyDescent="0.25">
      <c r="A5" s="3" t="s">
        <v>164</v>
      </c>
      <c r="B5" s="3" t="s">
        <v>165</v>
      </c>
      <c r="C5" s="3" t="s">
        <v>161</v>
      </c>
      <c r="D5" s="3" t="s">
        <v>162</v>
      </c>
      <c r="E5" s="18" t="s">
        <v>166</v>
      </c>
    </row>
    <row r="6" spans="1:5" x14ac:dyDescent="0.25">
      <c r="A6" s="3" t="s">
        <v>167</v>
      </c>
      <c r="B6" s="3" t="s">
        <v>168</v>
      </c>
      <c r="C6" s="3" t="s">
        <v>161</v>
      </c>
      <c r="D6" s="3" t="s">
        <v>162</v>
      </c>
      <c r="E6" s="18" t="s">
        <v>169</v>
      </c>
    </row>
    <row r="7" spans="1:5" x14ac:dyDescent="0.25">
      <c r="A7" s="3" t="s">
        <v>170</v>
      </c>
      <c r="B7" s="3" t="s">
        <v>171</v>
      </c>
      <c r="C7" s="3" t="s">
        <v>172</v>
      </c>
      <c r="D7" s="3" t="s">
        <v>162</v>
      </c>
      <c r="E7" s="18" t="s">
        <v>173</v>
      </c>
    </row>
    <row r="8" spans="1:5" x14ac:dyDescent="0.25">
      <c r="A8" s="3" t="s">
        <v>174</v>
      </c>
      <c r="B8" s="3" t="s">
        <v>175</v>
      </c>
      <c r="C8" s="3" t="s">
        <v>176</v>
      </c>
      <c r="D8" s="3" t="s">
        <v>162</v>
      </c>
      <c r="E8" s="18" t="s">
        <v>177</v>
      </c>
    </row>
    <row r="9" spans="1:5" x14ac:dyDescent="0.25">
      <c r="A9" s="3" t="s">
        <v>178</v>
      </c>
      <c r="B9" s="3" t="s">
        <v>179</v>
      </c>
      <c r="C9" s="3" t="s">
        <v>176</v>
      </c>
      <c r="D9" s="3" t="s">
        <v>162</v>
      </c>
      <c r="E9" s="18" t="s">
        <v>180</v>
      </c>
    </row>
    <row r="10" spans="1:5" x14ac:dyDescent="0.25">
      <c r="A10" s="3" t="s">
        <v>181</v>
      </c>
      <c r="B10" s="3" t="s">
        <v>175</v>
      </c>
      <c r="C10" s="3" t="s">
        <v>182</v>
      </c>
      <c r="D10" s="3" t="s">
        <v>162</v>
      </c>
      <c r="E10" s="18" t="s">
        <v>183</v>
      </c>
    </row>
    <row r="11" spans="1:5" x14ac:dyDescent="0.25">
      <c r="A11" s="3" t="s">
        <v>184</v>
      </c>
      <c r="B11" s="3" t="s">
        <v>185</v>
      </c>
      <c r="C11" s="3" t="s">
        <v>186</v>
      </c>
      <c r="D11" s="3" t="s">
        <v>162</v>
      </c>
      <c r="E11" s="18" t="s">
        <v>187</v>
      </c>
    </row>
    <row r="12" spans="1:5" x14ac:dyDescent="0.25">
      <c r="A12" s="3" t="s">
        <v>188</v>
      </c>
      <c r="B12" s="3" t="s">
        <v>189</v>
      </c>
      <c r="C12" s="3" t="s">
        <v>190</v>
      </c>
      <c r="D12" s="3" t="s">
        <v>162</v>
      </c>
      <c r="E12" s="18" t="s">
        <v>191</v>
      </c>
    </row>
    <row r="13" spans="1:5" x14ac:dyDescent="0.25">
      <c r="A13" s="3" t="s">
        <v>192</v>
      </c>
      <c r="B13" s="3" t="s">
        <v>193</v>
      </c>
      <c r="C13" s="3" t="s">
        <v>190</v>
      </c>
      <c r="D13" s="3" t="s">
        <v>162</v>
      </c>
      <c r="E13" s="18" t="s">
        <v>191</v>
      </c>
    </row>
    <row r="14" spans="1:5" x14ac:dyDescent="0.25">
      <c r="A14" s="3" t="s">
        <v>194</v>
      </c>
      <c r="B14" s="3" t="s">
        <v>195</v>
      </c>
      <c r="C14" s="3" t="s">
        <v>196</v>
      </c>
      <c r="D14" s="3" t="s">
        <v>162</v>
      </c>
      <c r="E14" s="18" t="s">
        <v>197</v>
      </c>
    </row>
    <row r="15" spans="1:5" x14ac:dyDescent="0.25">
      <c r="A15" s="3" t="s">
        <v>198</v>
      </c>
      <c r="B15" s="3" t="s">
        <v>199</v>
      </c>
      <c r="C15" s="3" t="s">
        <v>200</v>
      </c>
      <c r="D15" s="3" t="s">
        <v>162</v>
      </c>
      <c r="E15" s="18" t="s">
        <v>201</v>
      </c>
    </row>
    <row r="16" spans="1:5" x14ac:dyDescent="0.25">
      <c r="A16" s="3" t="s">
        <v>202</v>
      </c>
      <c r="B16" s="3" t="s">
        <v>203</v>
      </c>
      <c r="C16" s="3" t="s">
        <v>204</v>
      </c>
      <c r="D16" s="3" t="s">
        <v>162</v>
      </c>
      <c r="E16" s="18" t="s">
        <v>205</v>
      </c>
    </row>
    <row r="17" spans="1:5" x14ac:dyDescent="0.25">
      <c r="A17" s="3" t="s">
        <v>206</v>
      </c>
      <c r="B17" s="3" t="s">
        <v>207</v>
      </c>
      <c r="C17" s="3" t="s">
        <v>208</v>
      </c>
      <c r="D17" s="3" t="s">
        <v>162</v>
      </c>
      <c r="E17" s="18" t="s">
        <v>209</v>
      </c>
    </row>
    <row r="18" spans="1:5" x14ac:dyDescent="0.25">
      <c r="A18" s="3" t="s">
        <v>210</v>
      </c>
      <c r="B18" s="3" t="s">
        <v>211</v>
      </c>
      <c r="C18" s="3" t="s">
        <v>212</v>
      </c>
      <c r="D18" s="3" t="s">
        <v>162</v>
      </c>
      <c r="E18" s="18" t="s">
        <v>213</v>
      </c>
    </row>
    <row r="19" spans="1:5" x14ac:dyDescent="0.25">
      <c r="A19" s="3" t="s">
        <v>214</v>
      </c>
      <c r="B19" s="3" t="s">
        <v>215</v>
      </c>
      <c r="C19" s="3" t="s">
        <v>212</v>
      </c>
      <c r="D19" s="3" t="s">
        <v>162</v>
      </c>
      <c r="E19" s="18" t="s">
        <v>216</v>
      </c>
    </row>
    <row r="20" spans="1:5" x14ac:dyDescent="0.25">
      <c r="A20" s="3" t="s">
        <v>217</v>
      </c>
      <c r="B20" s="3" t="s">
        <v>218</v>
      </c>
      <c r="C20" s="3" t="s">
        <v>219</v>
      </c>
      <c r="D20" s="3" t="s">
        <v>162</v>
      </c>
      <c r="E20" s="18" t="s">
        <v>220</v>
      </c>
    </row>
    <row r="21" spans="1:5" x14ac:dyDescent="0.25">
      <c r="A21" s="3" t="s">
        <v>221</v>
      </c>
      <c r="B21" s="3" t="s">
        <v>222</v>
      </c>
      <c r="C21" s="3" t="s">
        <v>223</v>
      </c>
      <c r="D21" s="3" t="s">
        <v>162</v>
      </c>
      <c r="E21" s="18" t="s">
        <v>224</v>
      </c>
    </row>
    <row r="22" spans="1:5" x14ac:dyDescent="0.25">
      <c r="A22" s="3" t="s">
        <v>225</v>
      </c>
      <c r="B22" s="3" t="s">
        <v>226</v>
      </c>
      <c r="C22" s="3" t="s">
        <v>227</v>
      </c>
      <c r="D22" s="3" t="s">
        <v>162</v>
      </c>
      <c r="E22" s="18" t="s">
        <v>228</v>
      </c>
    </row>
    <row r="23" spans="1:5" x14ac:dyDescent="0.25">
      <c r="A23" s="3" t="s">
        <v>229</v>
      </c>
      <c r="B23" s="3" t="s">
        <v>230</v>
      </c>
      <c r="C23" s="3" t="s">
        <v>231</v>
      </c>
      <c r="D23" s="3" t="s">
        <v>162</v>
      </c>
      <c r="E23" s="18" t="s">
        <v>232</v>
      </c>
    </row>
    <row r="24" spans="1:5" x14ac:dyDescent="0.25">
      <c r="A24" s="3" t="s">
        <v>233</v>
      </c>
      <c r="B24" s="3" t="s">
        <v>234</v>
      </c>
      <c r="C24" s="3" t="s">
        <v>235</v>
      </c>
      <c r="D24" s="3" t="s">
        <v>162</v>
      </c>
      <c r="E24" s="18" t="s">
        <v>236</v>
      </c>
    </row>
    <row r="25" spans="1:5" x14ac:dyDescent="0.25">
      <c r="A25" s="3" t="s">
        <v>237</v>
      </c>
      <c r="B25" s="3" t="s">
        <v>238</v>
      </c>
      <c r="C25" s="3" t="s">
        <v>235</v>
      </c>
      <c r="D25" s="3" t="s">
        <v>162</v>
      </c>
      <c r="E25" s="18" t="s">
        <v>239</v>
      </c>
    </row>
    <row r="26" spans="1:5" x14ac:dyDescent="0.25">
      <c r="A26" s="3" t="s">
        <v>240</v>
      </c>
      <c r="B26" s="3" t="s">
        <v>226</v>
      </c>
      <c r="C26" s="3" t="s">
        <v>241</v>
      </c>
      <c r="D26" s="3" t="s">
        <v>162</v>
      </c>
      <c r="E26" s="18" t="s">
        <v>242</v>
      </c>
    </row>
    <row r="27" spans="1:5" x14ac:dyDescent="0.25">
      <c r="A27" s="3" t="s">
        <v>243</v>
      </c>
      <c r="B27" s="3" t="s">
        <v>244</v>
      </c>
      <c r="C27" s="3" t="s">
        <v>245</v>
      </c>
      <c r="D27" s="3" t="s">
        <v>162</v>
      </c>
      <c r="E27" s="18" t="s">
        <v>246</v>
      </c>
    </row>
    <row r="28" spans="1:5" x14ac:dyDescent="0.25">
      <c r="A28" s="3" t="s">
        <v>247</v>
      </c>
      <c r="B28" s="3" t="s">
        <v>226</v>
      </c>
      <c r="C28" s="3" t="s">
        <v>248</v>
      </c>
      <c r="D28" s="3" t="s">
        <v>162</v>
      </c>
      <c r="E28" s="18" t="s">
        <v>249</v>
      </c>
    </row>
    <row r="29" spans="1:5" x14ac:dyDescent="0.25">
      <c r="A29" s="3" t="s">
        <v>250</v>
      </c>
      <c r="B29" s="3" t="s">
        <v>251</v>
      </c>
      <c r="C29" s="3" t="s">
        <v>252</v>
      </c>
      <c r="D29" s="3" t="s">
        <v>162</v>
      </c>
      <c r="E29" s="18" t="s">
        <v>253</v>
      </c>
    </row>
    <row r="30" spans="1:5" x14ac:dyDescent="0.25">
      <c r="A30" s="3" t="s">
        <v>254</v>
      </c>
      <c r="B30" s="3" t="s">
        <v>255</v>
      </c>
      <c r="C30" s="3" t="s">
        <v>223</v>
      </c>
      <c r="D30" s="3" t="s">
        <v>162</v>
      </c>
      <c r="E30" s="18" t="s">
        <v>256</v>
      </c>
    </row>
    <row r="31" spans="1:5" x14ac:dyDescent="0.25">
      <c r="A31" s="3" t="s">
        <v>257</v>
      </c>
      <c r="B31" s="3" t="s">
        <v>258</v>
      </c>
      <c r="C31" s="3" t="s">
        <v>223</v>
      </c>
      <c r="D31" s="3" t="s">
        <v>162</v>
      </c>
      <c r="E31" s="18" t="s">
        <v>259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2D8E"/>
  </sheetPr>
  <dimension ref="A1:G26"/>
  <sheetViews>
    <sheetView workbookViewId="0">
      <selection activeCell="A2" sqref="A1:A1048576"/>
    </sheetView>
  </sheetViews>
  <sheetFormatPr defaultRowHeight="15" x14ac:dyDescent="0.25"/>
  <cols>
    <col min="1" max="1" width="42.140625" customWidth="1"/>
    <col min="2" max="3" width="12" customWidth="1"/>
    <col min="4" max="4" width="20.42578125" customWidth="1"/>
    <col min="5" max="5" width="18.85546875" customWidth="1"/>
    <col min="6" max="6" width="20.28515625" customWidth="1"/>
    <col min="7" max="7" width="24.7109375" customWidth="1"/>
  </cols>
  <sheetData>
    <row r="1" spans="1:7" ht="18.75" x14ac:dyDescent="0.3">
      <c r="A1" s="22" t="s">
        <v>260</v>
      </c>
      <c r="B1" s="23"/>
      <c r="C1" s="23"/>
      <c r="D1" s="23"/>
      <c r="E1" s="23"/>
      <c r="F1" s="23"/>
      <c r="G1" s="23"/>
    </row>
    <row r="3" spans="1:7" x14ac:dyDescent="0.25">
      <c r="A3" s="1" t="s">
        <v>261</v>
      </c>
      <c r="B3" s="1" t="s">
        <v>262</v>
      </c>
      <c r="C3" s="1" t="s">
        <v>263</v>
      </c>
      <c r="D3" s="1" t="s">
        <v>264</v>
      </c>
      <c r="E3" s="1" t="s">
        <v>265</v>
      </c>
      <c r="F3" s="1" t="s">
        <v>266</v>
      </c>
      <c r="G3" s="1" t="s">
        <v>267</v>
      </c>
    </row>
    <row r="4" spans="1:7" x14ac:dyDescent="0.25">
      <c r="A4" s="19" t="s">
        <v>268</v>
      </c>
      <c r="B4" s="19">
        <v>1</v>
      </c>
      <c r="C4" s="19">
        <v>1</v>
      </c>
      <c r="D4" s="30">
        <v>0</v>
      </c>
      <c r="E4" s="30">
        <f>Assumptions!B19</f>
        <v>7.0000000000000007E-2</v>
      </c>
      <c r="F4" s="34">
        <f>E4-D4</f>
        <v>7.0000000000000007E-2</v>
      </c>
      <c r="G4" s="19" t="s">
        <v>269</v>
      </c>
    </row>
    <row r="5" spans="1:7" x14ac:dyDescent="0.25">
      <c r="A5" s="19" t="s">
        <v>270</v>
      </c>
      <c r="B5" s="19">
        <v>1</v>
      </c>
      <c r="C5" s="19">
        <v>3</v>
      </c>
      <c r="D5" s="30">
        <v>150</v>
      </c>
      <c r="E5" s="30">
        <v>0</v>
      </c>
      <c r="F5" s="34">
        <f t="shared" ref="F5:F26" si="0">F4+E5-D5</f>
        <v>-149.93</v>
      </c>
      <c r="G5" s="19" t="s">
        <v>269</v>
      </c>
    </row>
    <row r="6" spans="1:7" x14ac:dyDescent="0.25">
      <c r="A6" s="19" t="s">
        <v>271</v>
      </c>
      <c r="B6" s="19">
        <v>3</v>
      </c>
      <c r="C6" s="19">
        <v>10</v>
      </c>
      <c r="D6" s="30">
        <v>0</v>
      </c>
      <c r="E6" s="30">
        <v>0</v>
      </c>
      <c r="F6" s="34">
        <f t="shared" si="0"/>
        <v>-149.93</v>
      </c>
      <c r="G6" s="19" t="s">
        <v>269</v>
      </c>
    </row>
    <row r="7" spans="1:7" x14ac:dyDescent="0.25">
      <c r="A7" s="19" t="s">
        <v>272</v>
      </c>
      <c r="B7" s="19">
        <v>5</v>
      </c>
      <c r="C7" s="19">
        <v>14</v>
      </c>
      <c r="D7" s="30">
        <v>2500</v>
      </c>
      <c r="E7" s="30">
        <v>0</v>
      </c>
      <c r="F7" s="34">
        <f t="shared" si="0"/>
        <v>-2649.93</v>
      </c>
      <c r="G7" s="19" t="s">
        <v>269</v>
      </c>
    </row>
    <row r="8" spans="1:7" x14ac:dyDescent="0.25">
      <c r="A8" s="20" t="s">
        <v>273</v>
      </c>
      <c r="B8" s="20">
        <v>14</v>
      </c>
      <c r="C8" s="20">
        <v>14</v>
      </c>
      <c r="D8" s="31">
        <v>0</v>
      </c>
      <c r="E8" s="31">
        <v>0</v>
      </c>
      <c r="F8" s="35">
        <f t="shared" si="0"/>
        <v>-2649.93</v>
      </c>
      <c r="G8" s="20" t="s">
        <v>274</v>
      </c>
    </row>
    <row r="9" spans="1:7" x14ac:dyDescent="0.25">
      <c r="A9" s="20" t="s">
        <v>275</v>
      </c>
      <c r="B9" s="20">
        <v>28</v>
      </c>
      <c r="C9" s="20">
        <v>35</v>
      </c>
      <c r="D9" s="31">
        <v>0</v>
      </c>
      <c r="E9" s="31">
        <v>0</v>
      </c>
      <c r="F9" s="35">
        <f t="shared" si="0"/>
        <v>-2649.93</v>
      </c>
      <c r="G9" s="20" t="s">
        <v>274</v>
      </c>
    </row>
    <row r="10" spans="1:7" x14ac:dyDescent="0.25">
      <c r="A10" s="20" t="s">
        <v>276</v>
      </c>
      <c r="B10" s="20">
        <v>28</v>
      </c>
      <c r="C10" s="20">
        <v>38</v>
      </c>
      <c r="D10" s="31">
        <v>0</v>
      </c>
      <c r="E10" s="31">
        <v>0</v>
      </c>
      <c r="F10" s="35">
        <f t="shared" si="0"/>
        <v>-2649.93</v>
      </c>
      <c r="G10" s="20" t="s">
        <v>274</v>
      </c>
    </row>
    <row r="11" spans="1:7" x14ac:dyDescent="0.25">
      <c r="A11" s="20" t="s">
        <v>277</v>
      </c>
      <c r="B11" s="20">
        <v>38</v>
      </c>
      <c r="C11" s="20">
        <v>48</v>
      </c>
      <c r="D11" s="31">
        <v>0</v>
      </c>
      <c r="E11" s="31">
        <v>0</v>
      </c>
      <c r="F11" s="35">
        <f t="shared" si="0"/>
        <v>-2649.93</v>
      </c>
      <c r="G11" s="20" t="s">
        <v>274</v>
      </c>
    </row>
    <row r="12" spans="1:7" x14ac:dyDescent="0.25">
      <c r="A12" s="20" t="s">
        <v>278</v>
      </c>
      <c r="B12" s="20">
        <v>48</v>
      </c>
      <c r="C12" s="20">
        <v>56</v>
      </c>
      <c r="D12" s="31">
        <v>0</v>
      </c>
      <c r="E12" s="31">
        <v>0</v>
      </c>
      <c r="F12" s="35">
        <f t="shared" si="0"/>
        <v>-2649.93</v>
      </c>
      <c r="G12" s="20" t="s">
        <v>274</v>
      </c>
    </row>
    <row r="13" spans="1:7" x14ac:dyDescent="0.25">
      <c r="A13" s="20" t="s">
        <v>279</v>
      </c>
      <c r="B13" s="20">
        <v>30</v>
      </c>
      <c r="C13" s="20">
        <v>45</v>
      </c>
      <c r="D13" s="31">
        <v>750</v>
      </c>
      <c r="E13" s="31">
        <v>0</v>
      </c>
      <c r="F13" s="35">
        <f t="shared" si="0"/>
        <v>-3399.93</v>
      </c>
      <c r="G13" s="20" t="s">
        <v>274</v>
      </c>
    </row>
    <row r="14" spans="1:7" x14ac:dyDescent="0.25">
      <c r="A14" s="20" t="s">
        <v>280</v>
      </c>
      <c r="B14" s="20">
        <v>35</v>
      </c>
      <c r="C14" s="20">
        <v>70</v>
      </c>
      <c r="D14" s="31">
        <v>10000</v>
      </c>
      <c r="E14" s="31">
        <v>0</v>
      </c>
      <c r="F14" s="35">
        <f t="shared" si="0"/>
        <v>-13399.93</v>
      </c>
      <c r="G14" s="20" t="s">
        <v>274</v>
      </c>
    </row>
    <row r="15" spans="1:7" x14ac:dyDescent="0.25">
      <c r="A15" s="20" t="s">
        <v>281</v>
      </c>
      <c r="B15" s="20">
        <v>50</v>
      </c>
      <c r="C15" s="20">
        <v>70</v>
      </c>
      <c r="D15" s="31">
        <v>4500</v>
      </c>
      <c r="E15" s="31">
        <v>0</v>
      </c>
      <c r="F15" s="35">
        <f t="shared" si="0"/>
        <v>-17899.93</v>
      </c>
      <c r="G15" s="20" t="s">
        <v>274</v>
      </c>
    </row>
    <row r="16" spans="1:7" x14ac:dyDescent="0.25">
      <c r="A16" s="20" t="s">
        <v>282</v>
      </c>
      <c r="B16" s="20">
        <v>42</v>
      </c>
      <c r="C16" s="20">
        <v>70</v>
      </c>
      <c r="D16" s="31">
        <v>2500</v>
      </c>
      <c r="E16" s="31">
        <v>0</v>
      </c>
      <c r="F16" s="35">
        <f t="shared" si="0"/>
        <v>-20399.93</v>
      </c>
      <c r="G16" s="20" t="s">
        <v>274</v>
      </c>
    </row>
    <row r="17" spans="1:7" x14ac:dyDescent="0.25">
      <c r="A17" s="20" t="s">
        <v>283</v>
      </c>
      <c r="B17" s="20">
        <v>56</v>
      </c>
      <c r="C17" s="20">
        <v>60</v>
      </c>
      <c r="D17" s="31">
        <v>0</v>
      </c>
      <c r="E17" s="31">
        <v>0</v>
      </c>
      <c r="F17" s="35">
        <f t="shared" si="0"/>
        <v>-20399.93</v>
      </c>
      <c r="G17" s="20" t="s">
        <v>274</v>
      </c>
    </row>
    <row r="18" spans="1:7" x14ac:dyDescent="0.25">
      <c r="A18" s="14" t="s">
        <v>284</v>
      </c>
      <c r="B18" s="14">
        <v>63</v>
      </c>
      <c r="C18" s="14">
        <v>63</v>
      </c>
      <c r="D18" s="32">
        <v>5500</v>
      </c>
      <c r="E18" s="32">
        <v>0</v>
      </c>
      <c r="F18" s="25">
        <f t="shared" si="0"/>
        <v>-25899.93</v>
      </c>
      <c r="G18" s="14" t="s">
        <v>285</v>
      </c>
    </row>
    <row r="19" spans="1:7" x14ac:dyDescent="0.25">
      <c r="A19" s="14" t="s">
        <v>286</v>
      </c>
      <c r="B19" s="14">
        <v>63</v>
      </c>
      <c r="C19" s="14">
        <v>75</v>
      </c>
      <c r="D19" s="32">
        <v>3500</v>
      </c>
      <c r="E19" s="32">
        <v>0</v>
      </c>
      <c r="F19" s="25">
        <f t="shared" si="0"/>
        <v>-29399.93</v>
      </c>
      <c r="G19" s="14" t="s">
        <v>285</v>
      </c>
    </row>
    <row r="20" spans="1:7" x14ac:dyDescent="0.25">
      <c r="A20" s="14" t="s">
        <v>287</v>
      </c>
      <c r="B20" s="14">
        <v>65</v>
      </c>
      <c r="C20" s="14">
        <v>80</v>
      </c>
      <c r="D20" s="32">
        <v>5000</v>
      </c>
      <c r="E20" s="32">
        <v>0</v>
      </c>
      <c r="F20" s="25">
        <f t="shared" si="0"/>
        <v>-34399.93</v>
      </c>
      <c r="G20" s="14" t="s">
        <v>285</v>
      </c>
    </row>
    <row r="21" spans="1:7" x14ac:dyDescent="0.25">
      <c r="A21" s="14" t="s">
        <v>288</v>
      </c>
      <c r="B21" s="14">
        <v>80</v>
      </c>
      <c r="C21" s="14">
        <v>80</v>
      </c>
      <c r="D21" s="32">
        <v>100</v>
      </c>
      <c r="E21" s="32">
        <v>0</v>
      </c>
      <c r="F21" s="25">
        <f t="shared" si="0"/>
        <v>-34499.93</v>
      </c>
      <c r="G21" s="14" t="s">
        <v>285</v>
      </c>
    </row>
    <row r="22" spans="1:7" x14ac:dyDescent="0.25">
      <c r="A22" s="14" t="s">
        <v>289</v>
      </c>
      <c r="B22" s="14">
        <v>80</v>
      </c>
      <c r="C22" s="14">
        <v>84</v>
      </c>
      <c r="D22" s="32">
        <v>1500</v>
      </c>
      <c r="E22" s="32">
        <v>0</v>
      </c>
      <c r="F22" s="25">
        <f t="shared" si="0"/>
        <v>-35999.93</v>
      </c>
      <c r="G22" s="14" t="s">
        <v>285</v>
      </c>
    </row>
    <row r="23" spans="1:7" x14ac:dyDescent="0.25">
      <c r="A23" s="21" t="s">
        <v>290</v>
      </c>
      <c r="B23" s="21">
        <v>84</v>
      </c>
      <c r="C23" s="21">
        <v>120</v>
      </c>
      <c r="D23" s="33">
        <v>3000</v>
      </c>
      <c r="E23" s="33">
        <v>0</v>
      </c>
      <c r="F23" s="36">
        <f t="shared" si="0"/>
        <v>-38999.93</v>
      </c>
      <c r="G23" s="21" t="s">
        <v>291</v>
      </c>
    </row>
    <row r="24" spans="1:7" x14ac:dyDescent="0.25">
      <c r="A24" s="21" t="s">
        <v>292</v>
      </c>
      <c r="B24" s="21">
        <v>90</v>
      </c>
      <c r="C24" s="21">
        <v>90</v>
      </c>
      <c r="D24" s="33">
        <v>0</v>
      </c>
      <c r="E24" s="33">
        <v>0</v>
      </c>
      <c r="F24" s="36">
        <f t="shared" si="0"/>
        <v>-38999.93</v>
      </c>
      <c r="G24" s="21" t="s">
        <v>291</v>
      </c>
    </row>
    <row r="25" spans="1:7" x14ac:dyDescent="0.25">
      <c r="A25" s="21" t="s">
        <v>293</v>
      </c>
      <c r="B25" s="21">
        <v>120</v>
      </c>
      <c r="C25" s="21">
        <v>120</v>
      </c>
      <c r="D25" s="33">
        <v>0</v>
      </c>
      <c r="E25" s="33">
        <f>Assumptions!B20</f>
        <v>1100000</v>
      </c>
      <c r="F25" s="36">
        <f t="shared" si="0"/>
        <v>1061000.07</v>
      </c>
      <c r="G25" s="21" t="s">
        <v>291</v>
      </c>
    </row>
    <row r="26" spans="1:7" x14ac:dyDescent="0.25">
      <c r="A26" s="21" t="s">
        <v>294</v>
      </c>
      <c r="B26" s="21">
        <v>120</v>
      </c>
      <c r="C26" s="21">
        <v>120</v>
      </c>
      <c r="D26" s="33">
        <v>500</v>
      </c>
      <c r="E26" s="33">
        <v>0</v>
      </c>
      <c r="F26" s="36">
        <f t="shared" si="0"/>
        <v>1060500.07</v>
      </c>
      <c r="G26" s="21" t="s">
        <v>291</v>
      </c>
    </row>
  </sheetData>
  <mergeCells count="1">
    <mergeCell ref="A1:G1"/>
  </mergeCells>
  <conditionalFormatting sqref="F4:F2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Deal Model</vt:lpstr>
      <vt:lpstr>PleoChrome P&amp;L</vt:lpstr>
      <vt:lpstr>Pricing Sources</vt:lpstr>
      <vt:lpstr>Payment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Pierson</cp:lastModifiedBy>
  <dcterms:created xsi:type="dcterms:W3CDTF">2026-03-16T10:50:56Z</dcterms:created>
  <dcterms:modified xsi:type="dcterms:W3CDTF">2026-03-16T11:04:12Z</dcterms:modified>
</cp:coreProperties>
</file>